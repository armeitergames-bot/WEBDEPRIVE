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Supuestos" sheetId="2" state="visible" r:id="rId4"/>
    <sheet name="Eventos" sheetId="3" state="visible" r:id="rId5"/>
    <sheet name="Energia" sheetId="4" state="visible" r:id="rId6"/>
    <sheet name="Agua" sheetId="5" state="visible" r:id="rId7"/>
    <sheet name="Ingresos" sheetId="6" state="visible" r:id="rId8"/>
    <sheet name="Costos_Operacion" sheetId="7" state="visible" r:id="rId9"/>
    <sheet name="Flujo_30_anios" sheetId="8" state="visible" r:id="rId10"/>
    <sheet name="Derram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<sst xmlns="http://schemas.openxmlformats.org/spreadsheetml/2006/main" count="1451" uniqueCount="659">
  <si>
    <t xml:space="preserve">ESTADIO YAXCHÉ + PLAZA SAKBÉ — ¿Cuánto genera y cuándo se paga?</t>
  </si>
  <si>
    <t xml:space="preserve">Modelo financiero de concepto. Millones de pesos de 2026, sin inflación ni IVA. Tres escenarios: cambia cualquier número azul en "Supuestos" y todo se recalcula.</t>
  </si>
  <si>
    <t xml:space="preserve">Lo más importante</t>
  </si>
  <si>
    <t xml:space="preserve">Unidad</t>
  </si>
  <si>
    <t xml:space="preserve">Conservador</t>
  </si>
  <si>
    <t xml:space="preserve">Base</t>
  </si>
  <si>
    <t xml:space="preserve">Optimista</t>
  </si>
  <si>
    <t xml:space="preserve">Inversión de construcción (sin IVA, sin terreno)</t>
  </si>
  <si>
    <t xml:space="preserve">M MXN</t>
  </si>
  <si>
    <t xml:space="preserve">Días de evento al año</t>
  </si>
  <si>
    <t xml:space="preserve">días</t>
  </si>
  <si>
    <t xml:space="preserve">   de ellos, conciertos</t>
  </si>
  <si>
    <t xml:space="preserve">conciertos</t>
  </si>
  <si>
    <t xml:space="preserve">Asistentes a eventos al año</t>
  </si>
  <si>
    <t xml:space="preserve">personas</t>
  </si>
  <si>
    <t xml:space="preserve">Ingresos del estadio</t>
  </si>
  <si>
    <t xml:space="preserve">M MXN/año</t>
  </si>
  <si>
    <t xml:space="preserve">Ingresos de la Plaza Sakbé</t>
  </si>
  <si>
    <t xml:space="preserve">Ingresos de energía y reciclaje</t>
  </si>
  <si>
    <t xml:space="preserve">INGRESOS TOTALES</t>
  </si>
  <si>
    <t xml:space="preserve">Costos de operación</t>
  </si>
  <si>
    <t xml:space="preserve">EBITDA (lo que queda cada año)</t>
  </si>
  <si>
    <t xml:space="preserve">Margen</t>
  </si>
  <si>
    <t xml:space="preserve">%</t>
  </si>
  <si>
    <t xml:space="preserve">Recuperación simple (inversión ÷ EBITDA)</t>
  </si>
  <si>
    <t xml:space="preserve">años</t>
  </si>
  <si>
    <t xml:space="preserve">Recuperación con flujo, después de impuestos</t>
  </si>
  <si>
    <t xml:space="preserve">años desde apertura</t>
  </si>
  <si>
    <t xml:space="preserve">TIR real antes de impuestos</t>
  </si>
  <si>
    <t xml:space="preserve">TIR real después de impuestos</t>
  </si>
  <si>
    <t xml:space="preserve">VPN a la tasa real (después de impuestos)</t>
  </si>
  <si>
    <t xml:space="preserve">Energía</t>
  </si>
  <si>
    <t xml:space="preserve">Potencia solar instalada</t>
  </si>
  <si>
    <t xml:space="preserve">MWp</t>
  </si>
  <si>
    <t xml:space="preserve">Generación solar</t>
  </si>
  <si>
    <t xml:space="preserve">GWh/año</t>
  </si>
  <si>
    <t xml:space="preserve">Energía solar que se pierde (calor, polvo, sombra, inversores, cables)</t>
  </si>
  <si>
    <t xml:space="preserve">Consumo de todo el conjunto</t>
  </si>
  <si>
    <t xml:space="preserve">   Estadio</t>
  </si>
  <si>
    <t xml:space="preserve">   Plaza Sakbé</t>
  </si>
  <si>
    <t xml:space="preserve">   Estacionamiento y cargadores</t>
  </si>
  <si>
    <t xml:space="preserve">Lo que cubren los paneles</t>
  </si>
  <si>
    <t xml:space="preserve">La cubierta vs. lo que gasta el estadio</t>
  </si>
  <si>
    <t xml:space="preserve">Energía que se compra a la red (todo el conjunto)</t>
  </si>
  <si>
    <t xml:space="preserve">Costo de esa energía (todo el conjunto)</t>
  </si>
  <si>
    <t xml:space="preserve">   de eso paga el dueño</t>
  </si>
  <si>
    <t xml:space="preserve">   y los locatarios en sus medidores</t>
  </si>
  <si>
    <t xml:space="preserve">Ahorro por los paneles</t>
  </si>
  <si>
    <t xml:space="preserve">Inversión solar (con indirectos)</t>
  </si>
  <si>
    <t xml:space="preserve">Los paneles se pagan solos en (todo el sistema)</t>
  </si>
  <si>
    <t xml:space="preserve">   solo los de la cubierta del estadio</t>
  </si>
  <si>
    <t xml:space="preserve">   el vidrio solar de la fachada</t>
  </si>
  <si>
    <t xml:space="preserve">CO₂ evitado</t>
  </si>
  <si>
    <t xml:space="preserve">t/año</t>
  </si>
  <si>
    <t xml:space="preserve">Agua que no viene de la red (lluvia + reúso)</t>
  </si>
  <si>
    <t xml:space="preserve">Si el gobierno pone la obra común (APP)</t>
  </si>
  <si>
    <t xml:space="preserve">Inversión privada</t>
  </si>
  <si>
    <t xml:space="preserve">Recuperación simple</t>
  </si>
  <si>
    <t xml:space="preserve">% / M MXN</t>
  </si>
  <si>
    <t xml:space="preserve">Obra común = estacionamiento subterráneo, excavación, explanada y redes (18,316 M). Solo se calcula sobre el escenario Base.</t>
  </si>
  <si>
    <t xml:space="preserve">¿Y si hay más conciertos? (escenario Base)</t>
  </si>
  <si>
    <t xml:space="preserve">EBITDA M MXN</t>
  </si>
  <si>
    <t xml:space="preserve">Recup. privada</t>
  </si>
  <si>
    <t xml:space="preserve">Recup. con APP</t>
  </si>
  <si>
    <t xml:space="preserve">6 conciertos al año</t>
  </si>
  <si>
    <t xml:space="preserve">EBITDA / años</t>
  </si>
  <si>
    <t xml:space="preserve">12 conciertos al año</t>
  </si>
  <si>
    <t xml:space="preserve">18 conciertos al año</t>
  </si>
  <si>
    <t xml:space="preserve">24 conciertos al año</t>
  </si>
  <si>
    <t xml:space="preserve">36 conciertos al año</t>
  </si>
  <si>
    <t xml:space="preserve">Todas las fuentes de ingreso (escenario Base), de mayor a menor</t>
  </si>
  <si>
    <t xml:space="preserve">% del total</t>
  </si>
  <si>
    <t xml:space="preserve">Renta: tiendas</t>
  </si>
  <si>
    <t xml:space="preserve">Plaza Sakbé</t>
  </si>
  <si>
    <t xml:space="preserve">Palcos (renta anual)</t>
  </si>
  <si>
    <t xml:space="preserve">Estadio: palcos y patrocinios</t>
  </si>
  <si>
    <t xml:space="preserve">Alimentos y bebidas (participación de la concesión)</t>
  </si>
  <si>
    <t xml:space="preserve">Estadio: gasto del público</t>
  </si>
  <si>
    <t xml:space="preserve">Renta: restaurantes y terrazas</t>
  </si>
  <si>
    <t xml:space="preserve">Renta: oficinas y coworking</t>
  </si>
  <si>
    <t xml:space="preserve">Renta por conciertos</t>
  </si>
  <si>
    <t xml:space="preserve">Estadio: eventos</t>
  </si>
  <si>
    <t xml:space="preserve">Cuota de mantenimiento de locatarios (CAM)</t>
  </si>
  <si>
    <t xml:space="preserve">Asientos club (membresía anual)</t>
  </si>
  <si>
    <t xml:space="preserve">Patrocinios oficiales y exclusividad de bebidas</t>
  </si>
  <si>
    <t xml:space="preserve">Comisión de boletaje (rebate)</t>
  </si>
  <si>
    <t xml:space="preserve">Estacionamiento diario (sin evento)</t>
  </si>
  <si>
    <t xml:space="preserve">Derechos de nombre del estadio</t>
  </si>
  <si>
    <t xml:space="preserve">Renta por partidos de fútbol de liga</t>
  </si>
  <si>
    <t xml:space="preserve">Renta: clínica, guardería y museo</t>
  </si>
  <si>
    <t xml:space="preserve">Renta por festivales</t>
  </si>
  <si>
    <t xml:space="preserve">Cuota de instalación por boleto</t>
  </si>
  <si>
    <t xml:space="preserve">Paquetes VIP y hospitalidad por evento</t>
  </si>
  <si>
    <t xml:space="preserve">Renta: gimnasio y centro deportivo</t>
  </si>
  <si>
    <t xml:space="preserve">Renta variable sobre ventas</t>
  </si>
  <si>
    <t xml:space="preserve">Estacionamiento en días de evento</t>
  </si>
  <si>
    <t xml:space="preserve">Renta: cines</t>
  </si>
  <si>
    <t xml:space="preserve">Renta por NFL / fútbol americano</t>
  </si>
  <si>
    <t xml:space="preserve">Fachada LED exterior</t>
  </si>
  <si>
    <t xml:space="preserve">Publicidad y patrocinio de la plaza</t>
  </si>
  <si>
    <t xml:space="preserve">Congresos, convenciones y eventos privados</t>
  </si>
  <si>
    <t xml:space="preserve">Estadio: días sin evento</t>
  </si>
  <si>
    <t xml:space="preserve">Eventos en el parque de la azotea</t>
  </si>
  <si>
    <t xml:space="preserve">Tours y museo del deporte</t>
  </si>
  <si>
    <t xml:space="preserve">Publicidad en pantallas y anillos LED</t>
  </si>
  <si>
    <t xml:space="preserve">Caminata sobre la cubierta</t>
  </si>
  <si>
    <t xml:space="preserve">Renta por partidos de selección e internacionales</t>
  </si>
  <si>
    <t xml:space="preserve">Mercancía (participación)</t>
  </si>
  <si>
    <t xml:space="preserve">Renta por eventos de arena (box, UFC, básquet, lucha)</t>
  </si>
  <si>
    <t xml:space="preserve">Renta por otros eventos (religiosos, corporativos, graduaciones, e-sports)</t>
  </si>
  <si>
    <t xml:space="preserve">Filmación, comerciales y fotos</t>
  </si>
  <si>
    <t xml:space="preserve">Kioscos e islas temporales</t>
  </si>
  <si>
    <t xml:space="preserve">Contenido digital, app y datos</t>
  </si>
  <si>
    <t xml:space="preserve">Carga de autos eléctricos</t>
  </si>
  <si>
    <t xml:space="preserve">Energía y reciclaje</t>
  </si>
  <si>
    <t xml:space="preserve">Renta de antenas y red</t>
  </si>
  <si>
    <t xml:space="preserve">Renta de cancha y vestidores</t>
  </si>
  <si>
    <t xml:space="preserve">Certificados de Energía Limpia</t>
  </si>
  <si>
    <t xml:space="preserve">Venta de reciclables</t>
  </si>
  <si>
    <t xml:space="preserve">Total</t>
  </si>
  <si>
    <t xml:space="preserve">Cómo leerlo</t>
  </si>
  <si>
    <t xml:space="preserve">• El estadio solo no se paga con la operación en un plazo razonable; ningún estadio de este tamaño lo hace. Lo que lo hace viable es la Plaza Sakbé (rentas todos los días) y que el gobierno ponga la obra común.</t>
  </si>
  <si>
    <t xml:space="preserve">• No incluye: terreno, financiamiento (intereses), inflación, ni la venta anticipada de palcos, que en México se ha usado para pagar parte de la obra (Estadio Azteca vendió palcos a 99 años).</t>
  </si>
  <si>
    <t xml:space="preserve">• Estimado de concepto: los ingresos pueden variar ±25 %. Úsalo para decidir y negociar, no para firmar.</t>
  </si>
  <si>
    <t xml:space="preserve">Consumo del estadio</t>
  </si>
  <si>
    <t xml:space="preserve">Consumo de la plaza</t>
  </si>
  <si>
    <t xml:space="preserve">Estacionamiento y cargadores</t>
  </si>
  <si>
    <t xml:space="preserve">Comprada a la red</t>
  </si>
  <si>
    <t xml:space="preserve">Supuestos del modelo (todo lo editable está aquí)</t>
  </si>
  <si>
    <t xml:space="preserve">Azul = dato editable. Negro = fórmula. Verde = liga a otra hoja. Pesos de 2026, sin inflación. Las tres columnas son tres escenarios: cambia cualquier número y todo el libro se recalcula.</t>
  </si>
  <si>
    <t xml:space="preserve">Concepto</t>
  </si>
  <si>
    <t xml:space="preserve">Nota / fuente</t>
  </si>
  <si>
    <t xml:space="preserve">Generales e inversión</t>
  </si>
  <si>
    <t xml:space="preserve">Tipo de cambio</t>
  </si>
  <si>
    <t xml:space="preserve">MXN/USD</t>
  </si>
  <si>
    <t xml:space="preserve">Mismo supuesto que el presupuesto</t>
  </si>
  <si>
    <t xml:space="preserve">Inversión de construcción, sin IVA</t>
  </si>
  <si>
    <t xml:space="preserve">Presupuesto_Materiales_Yaxche_Sakbe.xlsx, total sin IVA (el IVA de obra se acredita). Sin terreno.</t>
  </si>
  <si>
    <t xml:space="preserve">Costo directo de obra</t>
  </si>
  <si>
    <t xml:space="preserve">Presupuesto: costo directo</t>
  </si>
  <si>
    <t xml:space="preserve">Parte del estadio (con indirectos)</t>
  </si>
  <si>
    <t xml:space="preserve">Presupuesto: indicadores</t>
  </si>
  <si>
    <t xml:space="preserve">Parte de la Plaza Sakbé (con indirectos)</t>
  </si>
  <si>
    <t xml:space="preserve">Parte común: subterráneo, estacionamiento, explanada, redes</t>
  </si>
  <si>
    <t xml:space="preserve">Gastos preoperativos y capital de trabajo</t>
  </si>
  <si>
    <t xml:space="preserve">Contratación, marketing de apertura, pruebas, inventarios</t>
  </si>
  <si>
    <t xml:space="preserve">Avance de obra año 1</t>
  </si>
  <si>
    <t xml:space="preserve">Obra de 4 años</t>
  </si>
  <si>
    <t xml:space="preserve">Avance de obra año 2</t>
  </si>
  <si>
    <t xml:space="preserve">Avance de obra año 3</t>
  </si>
  <si>
    <t xml:space="preserve">Avance de obra año 4</t>
  </si>
  <si>
    <t xml:space="preserve">Arranque: ingresos del año 1 de operación</t>
  </si>
  <si>
    <t xml:space="preserve">% del estable</t>
  </si>
  <si>
    <t xml:space="preserve">Plaza a medio llenar y calendario de eventos incompleto</t>
  </si>
  <si>
    <t xml:space="preserve">Arranque: ingresos del año 2 de operación</t>
  </si>
  <si>
    <t xml:space="preserve">Tasa de descuento real</t>
  </si>
  <si>
    <t xml:space="preserve">Real (sin inflación). Equivale a ~12 % nominal con 4 % de inflación</t>
  </si>
  <si>
    <t xml:space="preserve">ISR</t>
  </si>
  <si>
    <t xml:space="preserve">Ley del ISR, personas morales</t>
  </si>
  <si>
    <t xml:space="preserve">Depreciación fiscal de construcciones</t>
  </si>
  <si>
    <t xml:space="preserve">%/año</t>
  </si>
  <si>
    <t xml:space="preserve">LISR art. 34: 5 % anual (20 años)</t>
  </si>
  <si>
    <t xml:space="preserve">Esquema APP: fracción de la obra común que pone el gobierno</t>
  </si>
  <si>
    <t xml:space="preserve">Solo para el bloque "Base con APP" del flujo. Estacionamiento, explanada y redes son infraestructura pública</t>
  </si>
  <si>
    <t xml:space="preserve">Calendario de eventos del estadio</t>
  </si>
  <si>
    <t xml:space="preserve">Fútbol de liga (club local): eventos al año</t>
  </si>
  <si>
    <t xml:space="preserve">eventos</t>
  </si>
  <si>
    <t xml:space="preserve">Fútbol de liga (club local): asistencia promedio</t>
  </si>
  <si>
    <t xml:space="preserve">Fútbol de liga (club local): boleto promedio</t>
  </si>
  <si>
    <t xml:space="preserve">MXN</t>
  </si>
  <si>
    <t xml:space="preserve">Fútbol de liga (club local): renta del estadio</t>
  </si>
  <si>
    <t xml:space="preserve">% de taquilla</t>
  </si>
  <si>
    <t xml:space="preserve">Lo que el club / promotor paga al estadio</t>
  </si>
  <si>
    <t xml:space="preserve">Fútbol de liga (club local): gasto en alimentos y bebidas</t>
  </si>
  <si>
    <t xml:space="preserve">MXN/persona</t>
  </si>
  <si>
    <t xml:space="preserve">Selección nacional y partidos internacionales: eventos al año</t>
  </si>
  <si>
    <t xml:space="preserve">Selección nacional y partidos internacionales: asistencia promedio</t>
  </si>
  <si>
    <t xml:space="preserve">Selección nacional y partidos internacionales: boleto promedio</t>
  </si>
  <si>
    <t xml:space="preserve">Selección nacional y partidos internacionales: renta del estadio</t>
  </si>
  <si>
    <t xml:space="preserve">Selección nacional y partidos internacionales: gasto en alimentos y bebidas</t>
  </si>
  <si>
    <t xml:space="preserve">Conciertos: eventos al año</t>
  </si>
  <si>
    <t xml:space="preserve">Un concierto al mes en el escenario base</t>
  </si>
  <si>
    <t xml:space="preserve">Conciertos: asistencia promedio</t>
  </si>
  <si>
    <t xml:space="preserve">Conciertos: boleto promedio</t>
  </si>
  <si>
    <t xml:space="preserve">Conciertos: renta del estadio</t>
  </si>
  <si>
    <t xml:space="preserve">Venue fee típico 8–12 % de la taquilla</t>
  </si>
  <si>
    <t xml:space="preserve">Conciertos: gasto en alimentos y bebidas</t>
  </si>
  <si>
    <t xml:space="preserve">NFL / fútbol americano: eventos al año</t>
  </si>
  <si>
    <t xml:space="preserve">NFL / fútbol americano: asistencia promedio</t>
  </si>
  <si>
    <t xml:space="preserve">NFL / fútbol americano: boleto promedio</t>
  </si>
  <si>
    <t xml:space="preserve">NFL / fútbol americano: renta fija del estadio</t>
  </si>
  <si>
    <t xml:space="preserve">M MXN/evento</t>
  </si>
  <si>
    <t xml:space="preserve">NFL / fútbol americano: gasto en alimentos y bebidas</t>
  </si>
  <si>
    <t xml:space="preserve">Festivales (días): eventos al año</t>
  </si>
  <si>
    <t xml:space="preserve">Festivales (días): asistencia promedio</t>
  </si>
  <si>
    <t xml:space="preserve">Festivales (días): boleto promedio</t>
  </si>
  <si>
    <t xml:space="preserve">Festivales (días): renta fija del estadio</t>
  </si>
  <si>
    <t xml:space="preserve">Festivales (días): gasto en alimentos y bebidas</t>
  </si>
  <si>
    <t xml:space="preserve">Modo arena: box, UFC, básquet, lucha: eventos al año</t>
  </si>
  <si>
    <t xml:space="preserve">Modo arena: box, UFC, básquet, lucha: asistencia promedio</t>
  </si>
  <si>
    <t xml:space="preserve">Modo arena: box, UFC, básquet, lucha: boleto promedio</t>
  </si>
  <si>
    <t xml:space="preserve">Modo arena: box, UFC, básquet, lucha: renta fija del estadio</t>
  </si>
  <si>
    <t xml:space="preserve">Modo arena: box, UFC, básquet, lucha: gasto en alimentos y bebidas</t>
  </si>
  <si>
    <t xml:space="preserve">Otros: religiosos, corporativos, graduaciones, e-sports: eventos al año</t>
  </si>
  <si>
    <t xml:space="preserve">Otros: religiosos, corporativos, graduaciones, e-sports: asistencia promedio</t>
  </si>
  <si>
    <t xml:space="preserve">Otros: religiosos, corporativos, graduaciones, e-sports: boleto promedio</t>
  </si>
  <si>
    <t xml:space="preserve">Otros: religiosos, corporativos, graduaciones, e-sports: renta fija del estadio</t>
  </si>
  <si>
    <t xml:space="preserve">Otros: religiosos, corporativos, graduaciones, e-sports: gasto en alimentos y bebidas</t>
  </si>
  <si>
    <t xml:space="preserve">Aforo máximo</t>
  </si>
  <si>
    <t xml:space="preserve">lugares</t>
  </si>
  <si>
    <t xml:space="preserve">Medido en el modelo 3D</t>
  </si>
  <si>
    <t xml:space="preserve">Participación del estadio en alimentos y bebidas</t>
  </si>
  <si>
    <t xml:space="preserve">% de ventas</t>
  </si>
  <si>
    <t xml:space="preserve">Contrato de concesión (el concesionario pone personal e insumos)</t>
  </si>
  <si>
    <t xml:space="preserve">Gasto en mercancía</t>
  </si>
  <si>
    <t xml:space="preserve">Participación del estadio en mercancía</t>
  </si>
  <si>
    <t xml:space="preserve">Cuota de instalación por boleto (eventos que no son fútbol)</t>
  </si>
  <si>
    <t xml:space="preserve">MXN/boleto</t>
  </si>
  <si>
    <t xml:space="preserve">Facility fee: se cobra dentro del boleto, va al estadio</t>
  </si>
  <si>
    <t xml:space="preserve">Comisión de boletaje que regresa al estadio</t>
  </si>
  <si>
    <t xml:space="preserve">Rebate de la boletera por exclusividad (cargo por servicio compartido)</t>
  </si>
  <si>
    <t xml:space="preserve">Lugares de hospitalidad VIP por evento (no abonados)</t>
  </si>
  <si>
    <t xml:space="preserve">Precio del paquete VIP</t>
  </si>
  <si>
    <t xml:space="preserve">Margen del estadio en VIP</t>
  </si>
  <si>
    <t xml:space="preserve">Autos por asistente</t>
  </si>
  <si>
    <t xml:space="preserve">autos/persona</t>
  </si>
  <si>
    <t xml:space="preserve">La mayoría llega en transporte público; tope = cajones</t>
  </si>
  <si>
    <t xml:space="preserve">Tarifa de estacionamiento en evento</t>
  </si>
  <si>
    <t xml:space="preserve">MXN/auto</t>
  </si>
  <si>
    <t xml:space="preserve">Personal por evento (seguridad, acomodadores, limpieza, médicos)</t>
  </si>
  <si>
    <t xml:space="preserve">Costo del personal por evento</t>
  </si>
  <si>
    <t xml:space="preserve">Palcos, asientos club, patrocinios y publicidad</t>
  </si>
  <si>
    <t xml:space="preserve">Palcos</t>
  </si>
  <si>
    <t xml:space="preserve">palcos</t>
  </si>
  <si>
    <t xml:space="preserve">Nivel entre grada media y alta</t>
  </si>
  <si>
    <t xml:space="preserve">Renta anual por palco</t>
  </si>
  <si>
    <t xml:space="preserve">12–16 lugares, todos los eventos</t>
  </si>
  <si>
    <t xml:space="preserve">Palcos rentados</t>
  </si>
  <si>
    <t xml:space="preserve">Asientos club</t>
  </si>
  <si>
    <t xml:space="preserve">Con salón, comida y estacionamiento</t>
  </si>
  <si>
    <t xml:space="preserve">Membresía anual por asiento club</t>
  </si>
  <si>
    <t xml:space="preserve">Asientos club vendidos</t>
  </si>
  <si>
    <t xml:space="preserve">Derechos de nombre (naming rights)</t>
  </si>
  <si>
    <t xml:space="preserve">M USD/año</t>
  </si>
  <si>
    <t xml:space="preserve">Estadios nuevos de 100k: USD 5–20 M/año</t>
  </si>
  <si>
    <t xml:space="preserve">Publicidad en pantallas y anillos LED del estadio</t>
  </si>
  <si>
    <t xml:space="preserve">Fachada LED exterior (pauta publicitaria)</t>
  </si>
  <si>
    <t xml:space="preserve">383 m de fachada LED medidos en el modelo</t>
  </si>
  <si>
    <t xml:space="preserve">Ingresos en días sin evento</t>
  </si>
  <si>
    <t xml:space="preserve">Visitantes de tours y museo del deporte</t>
  </si>
  <si>
    <t xml:space="preserve">personas/año</t>
  </si>
  <si>
    <t xml:space="preserve">Boleto de tour</t>
  </si>
  <si>
    <t xml:space="preserve">Caminata sobre la cubierta (experiencia en el techo)</t>
  </si>
  <si>
    <t xml:space="preserve">Como el skywalk de Tottenham o el Up at The O2</t>
  </si>
  <si>
    <t xml:space="preserve">Boleto de la caminata</t>
  </si>
  <si>
    <t xml:space="preserve">Congresos, convenciones y eventos privados en salones y palcos</t>
  </si>
  <si>
    <t xml:space="preserve">eventos/año</t>
  </si>
  <si>
    <t xml:space="preserve">Renta promedio por evento privado</t>
  </si>
  <si>
    <t xml:space="preserve">Renta de cancha y vestidores (corporativos, academias, visorias)</t>
  </si>
  <si>
    <t xml:space="preserve">rentas/año</t>
  </si>
  <si>
    <t xml:space="preserve">Renta por uso de cancha</t>
  </si>
  <si>
    <t xml:space="preserve">Filmación, comerciales y sesiones de fotos</t>
  </si>
  <si>
    <t xml:space="preserve">Renta de antenas y red (5G, DAS, WiFi)</t>
  </si>
  <si>
    <t xml:space="preserve">Venta de reciclables (PET, aluminio, cartón)</t>
  </si>
  <si>
    <t xml:space="preserve">Superficie construida de la plaza</t>
  </si>
  <si>
    <t xml:space="preserve">m²</t>
  </si>
  <si>
    <t xml:space="preserve">Superficie rentable / construida</t>
  </si>
  <si>
    <t xml:space="preserve">El resto: pasillos, núcleos, sanitarios, cuartos de máquinas</t>
  </si>
  <si>
    <t xml:space="preserve">Tiendas: parte del área rentable</t>
  </si>
  <si>
    <t xml:space="preserve">Según el programa por nivel del modelo</t>
  </si>
  <si>
    <t xml:space="preserve">Tiendas: renta</t>
  </si>
  <si>
    <t xml:space="preserve">MXN/m²/mes</t>
  </si>
  <si>
    <t xml:space="preserve">Rango de centros comerciales clase A en México</t>
  </si>
  <si>
    <t xml:space="preserve">Restaurantes y terrazas: parte del área rentable</t>
  </si>
  <si>
    <t xml:space="preserve">Restaurantes y terrazas: renta</t>
  </si>
  <si>
    <t xml:space="preserve">Cines: parte del área rentable</t>
  </si>
  <si>
    <t xml:space="preserve">Cines: renta</t>
  </si>
  <si>
    <t xml:space="preserve">Gimnasio y centro deportivo: parte del área rentable</t>
  </si>
  <si>
    <t xml:space="preserve">Gimnasio y centro deportivo: renta</t>
  </si>
  <si>
    <t xml:space="preserve">Clínica, guardería y museo: parte del área rentable</t>
  </si>
  <si>
    <t xml:space="preserve">Clínica, guardería y museo: renta</t>
  </si>
  <si>
    <t xml:space="preserve">Oficinas y coworking: parte del área rentable</t>
  </si>
  <si>
    <t xml:space="preserve">Oficinas y coworking: renta</t>
  </si>
  <si>
    <t xml:space="preserve">Ocupación de la plaza</t>
  </si>
  <si>
    <t xml:space="preserve">Renta variable (sobre ventas), como % extra de la renta fija de tiendas y restaurantes</t>
  </si>
  <si>
    <t xml:space="preserve">kioscos</t>
  </si>
  <si>
    <t xml:space="preserve">Renta por kiosco</t>
  </si>
  <si>
    <t xml:space="preserve">MXN/mes</t>
  </si>
  <si>
    <t xml:space="preserve">Eventos en el parque de la azotea (bodas, mercados, cine al aire libre)</t>
  </si>
  <si>
    <t xml:space="preserve">41,939 m² de parque</t>
  </si>
  <si>
    <t xml:space="preserve">Se cobra al locatario y paga la operación de áreas comunes</t>
  </si>
  <si>
    <t xml:space="preserve">Cajones de estacionamiento</t>
  </si>
  <si>
    <t xml:space="preserve">cajones</t>
  </si>
  <si>
    <t xml:space="preserve">Ocupación del estacionamiento en días sin evento</t>
  </si>
  <si>
    <t xml:space="preserve">Rotación (autos por cajón ocupado al día)</t>
  </si>
  <si>
    <t xml:space="preserve">veces</t>
  </si>
  <si>
    <t xml:space="preserve">Tarifa promedio por visita</t>
  </si>
  <si>
    <t xml:space="preserve">Cargadores de autos eléctricos</t>
  </si>
  <si>
    <t xml:space="preserve">cargadores</t>
  </si>
  <si>
    <t xml:space="preserve">Energía por cargador</t>
  </si>
  <si>
    <t xml:space="preserve">kWh/día</t>
  </si>
  <si>
    <t xml:space="preserve">Precio de venta de la carga</t>
  </si>
  <si>
    <t xml:space="preserve">MXN/kWh</t>
  </si>
  <si>
    <t xml:space="preserve">Radiación solar sobre horizontal</t>
  </si>
  <si>
    <t xml:space="preserve">kWh/m²/año</t>
  </si>
  <si>
    <t xml:space="preserve">Centro de México: 5.1–5.5 kWh/m²/día (NREL / SMN)</t>
  </si>
  <si>
    <t xml:space="preserve">Pérdida por temperatura de los paneles</t>
  </si>
  <si>
    <t xml:space="preserve">Rango típico de PVsyst para sistemas en cubierta</t>
  </si>
  <si>
    <t xml:space="preserve">Pérdida por polvo y suciedad</t>
  </si>
  <si>
    <t xml:space="preserve">Pérdida por sombra e inclinación (cubierta curva, casi plana)</t>
  </si>
  <si>
    <t xml:space="preserve">Pérdida en inversores</t>
  </si>
  <si>
    <t xml:space="preserve">Pérdida en cables y transformador</t>
  </si>
  <si>
    <t xml:space="preserve">Pérdida por diferencia entre módulos</t>
  </si>
  <si>
    <t xml:space="preserve">Pérdida por mantenimiento y fallas (disponibilidad)</t>
  </si>
  <si>
    <t xml:space="preserve">Paneles en la cubierta del estadio</t>
  </si>
  <si>
    <t xml:space="preserve">Pérgolas solares en la azotea de la plaza</t>
  </si>
  <si>
    <t xml:space="preserve">Vidrio fotovoltaico en la fachada exterior (50 %)</t>
  </si>
  <si>
    <t xml:space="preserve">Potencia por m² de cubierta o pérgola</t>
  </si>
  <si>
    <t xml:space="preserve">kWp/m²</t>
  </si>
  <si>
    <t xml:space="preserve">Módulo de 21–22 % con pasillos de mantenimiento y separación</t>
  </si>
  <si>
    <t xml:space="preserve">Potencia por m² de vidrio fotovoltaico</t>
  </si>
  <si>
    <t xml:space="preserve">Vidrio semitransparente</t>
  </si>
  <si>
    <t xml:space="preserve">Rendimiento de la fachada vertical vs. cubierta</t>
  </si>
  <si>
    <t xml:space="preserve">Fachada vertical rinde ~35–40 % de una cubierta horizontal</t>
  </si>
  <si>
    <t xml:space="preserve">Degradación anual de los paneles</t>
  </si>
  <si>
    <t xml:space="preserve">Garantía típica de fabricante</t>
  </si>
  <si>
    <t xml:space="preserve">Estadio: carga base (sistemas, oficinas, cancha, iluminación de seguridad)</t>
  </si>
  <si>
    <t xml:space="preserve">kW</t>
  </si>
  <si>
    <t xml:space="preserve">Estadio: energía por día de evento</t>
  </si>
  <si>
    <t xml:space="preserve">MWh/evento</t>
  </si>
  <si>
    <t xml:space="preserve">Iluminación, pantallas, cocinas, clima, techo</t>
  </si>
  <si>
    <t xml:space="preserve">Plaza: consumo por m² construido</t>
  </si>
  <si>
    <t xml:space="preserve">Centro comercial eficiente: 100–150 kWh/m²</t>
  </si>
  <si>
    <t xml:space="preserve">Estacionamiento: consumo por m²</t>
  </si>
  <si>
    <t xml:space="preserve">Ventilación, iluminación LED</t>
  </si>
  <si>
    <t xml:space="preserve">Estacionamiento subterráneo</t>
  </si>
  <si>
    <t xml:space="preserve">Parte del consumo de la plaza que pagan los locatarios</t>
  </si>
  <si>
    <t xml:space="preserve">Cada local tiene su medidor; el dueño paga áreas comunes</t>
  </si>
  <si>
    <t xml:space="preserve">Tarifa de la red, todo incluido (GDMTH)</t>
  </si>
  <si>
    <t xml:space="preserve">CFE gran demanda en media tensión horaria, con cargos de demanda</t>
  </si>
  <si>
    <t xml:space="preserve">Precio del Certificado de Energía Limpia</t>
  </si>
  <si>
    <t xml:space="preserve">MXN/MWh</t>
  </si>
  <si>
    <t xml:space="preserve">Si los paneles se registran</t>
  </si>
  <si>
    <t xml:space="preserve">Factor de emisión de la red</t>
  </si>
  <si>
    <t xml:space="preserve">t CO₂/MWh</t>
  </si>
  <si>
    <t xml:space="preserve">SEMARNAT/CRE 2023</t>
  </si>
  <si>
    <t xml:space="preserve">Costo directo de paneles con estructura en cubierta</t>
  </si>
  <si>
    <t xml:space="preserve">MXN/m²</t>
  </si>
  <si>
    <t xml:space="preserve">Presupuesto, cap. 05</t>
  </si>
  <si>
    <t xml:space="preserve">Costo directo de inversores en cubierta</t>
  </si>
  <si>
    <t xml:space="preserve">MXN/kWp</t>
  </si>
  <si>
    <t xml:space="preserve">Presupuesto, cap. 08</t>
  </si>
  <si>
    <t xml:space="preserve">Costo directo de pérgolas solares (módulos + inversores)</t>
  </si>
  <si>
    <t xml:space="preserve">Sobrecosto del vidrio fotovoltaico vs. vidrio normal</t>
  </si>
  <si>
    <t xml:space="preserve">Presupuesto, cap. 06: 19,500 − 12,500</t>
  </si>
  <si>
    <t xml:space="preserve">Costo directo de inversores del vidrio fotovoltaico</t>
  </si>
  <si>
    <t xml:space="preserve">Costo directo de la cubierta de ETFE (alternativa sin paneles)</t>
  </si>
  <si>
    <t xml:space="preserve">Operación y limpieza de paneles</t>
  </si>
  <si>
    <t xml:space="preserve">MXN/kWp/año</t>
  </si>
  <si>
    <t xml:space="preserve">Agua</t>
  </si>
  <si>
    <t xml:space="preserve">Estadio: agua por día de evento</t>
  </si>
  <si>
    <t xml:space="preserve">m³/evento</t>
  </si>
  <si>
    <t xml:space="preserve">Estadio: agua fija (cancha, limpieza, oficinas)</t>
  </si>
  <si>
    <t xml:space="preserve">m³/año</t>
  </si>
  <si>
    <t xml:space="preserve">Plaza: agua por m² construido</t>
  </si>
  <si>
    <t xml:space="preserve">m³/m²/año</t>
  </si>
  <si>
    <t xml:space="preserve">Jardines y parque</t>
  </si>
  <si>
    <t xml:space="preserve">Riego</t>
  </si>
  <si>
    <t xml:space="preserve">Plantas nativas, riego por goteo</t>
  </si>
  <si>
    <t xml:space="preserve">Superficie que capta lluvia (cubiertas + 30 % de la azotea)</t>
  </si>
  <si>
    <t xml:space="preserve">Lluvia anual</t>
  </si>
  <si>
    <t xml:space="preserve">m/año</t>
  </si>
  <si>
    <t xml:space="preserve">Centro de México: 600–800 mm</t>
  </si>
  <si>
    <t xml:space="preserve">Eficiencia de captación</t>
  </si>
  <si>
    <t xml:space="preserve">Agua gris tratada y reusada</t>
  </si>
  <si>
    <t xml:space="preserve">% del consumo</t>
  </si>
  <si>
    <t xml:space="preserve">Planta de tratamiento en sótano</t>
  </si>
  <si>
    <t xml:space="preserve">Tarifa de agua comercial</t>
  </si>
  <si>
    <t xml:space="preserve">MXN/m³</t>
  </si>
  <si>
    <t xml:space="preserve">Varía mucho por ciudad</t>
  </si>
  <si>
    <t xml:space="preserve">Costo de tratar el agua reusada</t>
  </si>
  <si>
    <t xml:space="preserve">Personal permanente (estadio y corporativo)</t>
  </si>
  <si>
    <t xml:space="preserve">Costo anual por persona, con prestaciones</t>
  </si>
  <si>
    <t xml:space="preserve">Mantenimiento del edificio y sus sistemas</t>
  </si>
  <si>
    <t xml:space="preserve">% del costo directo/año</t>
  </si>
  <si>
    <t xml:space="preserve">Rango usual 0.8–1.5 %</t>
  </si>
  <si>
    <t xml:space="preserve">Escaleras eléctricas</t>
  </si>
  <si>
    <t xml:space="preserve">equipos</t>
  </si>
  <si>
    <t xml:space="preserve">Modelo 3D: 48 + 320</t>
  </si>
  <si>
    <t xml:space="preserve">Contrato de mantenimiento por escalera eléctrica</t>
  </si>
  <si>
    <t xml:space="preserve">MXN/año</t>
  </si>
  <si>
    <t xml:space="preserve">Elevadores</t>
  </si>
  <si>
    <t xml:space="preserve">Modelo 3D: torres, núcleos de escape, núcleos de la plaza, panorámicos</t>
  </si>
  <si>
    <t xml:space="preserve">Contrato de mantenimiento por elevador</t>
  </si>
  <si>
    <t xml:space="preserve">Techo retráctil: mantenimiento de carritos, rieles y motores</t>
  </si>
  <si>
    <t xml:space="preserve">Cancha: pasto híbrido y reposición después de conciertos</t>
  </si>
  <si>
    <t xml:space="preserve">Jardinería y árboles (explanada y estadio)</t>
  </si>
  <si>
    <t xml:space="preserve">Seguridad permanente 24/7</t>
  </si>
  <si>
    <t xml:space="preserve">Limpieza permanente (días sin evento)</t>
  </si>
  <si>
    <t xml:space="preserve">Recolección de residuos</t>
  </si>
  <si>
    <t xml:space="preserve">Telecomunicaciones, WiFi y sistemas</t>
  </si>
  <si>
    <t xml:space="preserve">Seguros (daños, responsabilidad civil, eventos)</t>
  </si>
  <si>
    <t xml:space="preserve">% de la inversión/año</t>
  </si>
  <si>
    <t xml:space="preserve">Predial</t>
  </si>
  <si>
    <t xml:space="preserve">Administración, marketing y ventas</t>
  </si>
  <si>
    <t xml:space="preserve">Comisión por venta de patrocinios, naming y palcos</t>
  </si>
  <si>
    <t xml:space="preserve">% de esas ventas</t>
  </si>
  <si>
    <t xml:space="preserve">Comisión y promoción de la plaza</t>
  </si>
  <si>
    <t xml:space="preserve">% de las rentas</t>
  </si>
  <si>
    <t xml:space="preserve">Operación del estacionamiento</t>
  </si>
  <si>
    <t xml:space="preserve">% de sus ingresos</t>
  </si>
  <si>
    <t xml:space="preserve">Reserva para reposiciones mayores (pantallas, butacas, inversores)</t>
  </si>
  <si>
    <t xml:space="preserve">Imprevistos de operación</t>
  </si>
  <si>
    <t xml:space="preserve">% de los costos</t>
  </si>
  <si>
    <t xml:space="preserve">Derrama económica</t>
  </si>
  <si>
    <t xml:space="preserve">Visitantes de la plaza</t>
  </si>
  <si>
    <t xml:space="preserve">personas/día</t>
  </si>
  <si>
    <t xml:space="preserve">Gasto fuera del estadio por asistente (transporte, comida)</t>
  </si>
  <si>
    <t xml:space="preserve">Asistentes que vienen de otra ciudad</t>
  </si>
  <si>
    <t xml:space="preserve">Gasto del visitante foráneo (hotel y comidas)</t>
  </si>
  <si>
    <t xml:space="preserve">Renta / ventas del locatario</t>
  </si>
  <si>
    <t xml:space="preserve">Costo de ocupación típico 8–12 %</t>
  </si>
  <si>
    <t xml:space="preserve">Área rentable por empleo en la plaza</t>
  </si>
  <si>
    <t xml:space="preserve">m²/empleo</t>
  </si>
  <si>
    <t xml:space="preserve">Parte de la obra que es mano de obra</t>
  </si>
  <si>
    <t xml:space="preserve">Salario anual promedio en obra, con prestaciones</t>
  </si>
  <si>
    <t xml:space="preserve">IVA</t>
  </si>
  <si>
    <t xml:space="preserve">Cuántos eventos, cuánta gente y cuánto se vende en taquilla. Dinero en millones de MXN.</t>
  </si>
  <si>
    <t xml:space="preserve">Fútbol de liga (club local)</t>
  </si>
  <si>
    <t xml:space="preserve">Eventos al año</t>
  </si>
  <si>
    <t xml:space="preserve">Asistencia por evento</t>
  </si>
  <si>
    <t xml:space="preserve">Tope = aforo</t>
  </si>
  <si>
    <t xml:space="preserve">Asistentes al año</t>
  </si>
  <si>
    <t xml:space="preserve">Taquilla bruta</t>
  </si>
  <si>
    <t xml:space="preserve">Va al club o al promotor</t>
  </si>
  <si>
    <t xml:space="preserve">Ventas de alimentos y bebidas</t>
  </si>
  <si>
    <t xml:space="preserve">Autos por evento</t>
  </si>
  <si>
    <t xml:space="preserve">autos</t>
  </si>
  <si>
    <t xml:space="preserve">Selección nacional y partidos internacionales</t>
  </si>
  <si>
    <t xml:space="preserve">Conciertos</t>
  </si>
  <si>
    <t xml:space="preserve">NFL / fútbol americano</t>
  </si>
  <si>
    <t xml:space="preserve">Festivales (días)</t>
  </si>
  <si>
    <t xml:space="preserve">Modo arena: box, UFC, básquet, lucha</t>
  </si>
  <si>
    <t xml:space="preserve">Otros: religiosos, corporativos, graduaciones, e-sports</t>
  </si>
  <si>
    <t xml:space="preserve">Totales</t>
  </si>
  <si>
    <t xml:space="preserve">Asistentes a eventos que no son fútbol</t>
  </si>
  <si>
    <t xml:space="preserve">Taquilla bruta total</t>
  </si>
  <si>
    <t xml:space="preserve">Ventas de mercancía</t>
  </si>
  <si>
    <t xml:space="preserve">Autos en días de evento</t>
  </si>
  <si>
    <t xml:space="preserve">autos/año</t>
  </si>
  <si>
    <t xml:space="preserve">Días sin evento</t>
  </si>
  <si>
    <t xml:space="preserve">Energía: cuánto generan los paneles, cuánto se consume y cuánto se paga</t>
  </si>
  <si>
    <t xml:space="preserve">GWh = millones de kWh. Dinero en millones de MXN. Los paneles se recalcularon con pérdidas reales (la cifra anterior de 16 GWh solo en la cubierta era optimista).</t>
  </si>
  <si>
    <t xml:space="preserve">1. Rendimiento de los paneles</t>
  </si>
  <si>
    <t xml:space="preserve">Sol que llega (radiación horizontal)</t>
  </si>
  <si>
    <t xml:space="preserve">Lo que sobrevive a las pérdidas</t>
  </si>
  <si>
    <t xml:space="preserve">Producto de las 7 pérdidas de Supuestos</t>
  </si>
  <si>
    <t xml:space="preserve">Rendimiento en cubierta y pérgolas</t>
  </si>
  <si>
    <t xml:space="preserve">kWh/kWp/año</t>
  </si>
  <si>
    <t xml:space="preserve">Rendimiento del vidrio fotovoltaico vertical</t>
  </si>
  <si>
    <t xml:space="preserve">2. Generación solar</t>
  </si>
  <si>
    <t xml:space="preserve">Potencia en la cubierta del estadio</t>
  </si>
  <si>
    <t xml:space="preserve">kWp</t>
  </si>
  <si>
    <t xml:space="preserve">Potencia en pérgolas de la azotea</t>
  </si>
  <si>
    <t xml:space="preserve">Potencia en la fachada (vidrio fotovoltaico)</t>
  </si>
  <si>
    <t xml:space="preserve">Potencia total</t>
  </si>
  <si>
    <t xml:space="preserve">Generación de la cubierta del estadio</t>
  </si>
  <si>
    <t xml:space="preserve">Generación de las pérgolas</t>
  </si>
  <si>
    <t xml:space="preserve">Generación de la fachada</t>
  </si>
  <si>
    <t xml:space="preserve">Generación solar total</t>
  </si>
  <si>
    <t xml:space="preserve">Lo que darían sin ninguna pérdida</t>
  </si>
  <si>
    <t xml:space="preserve">Potencia × sol, sin pérdidas</t>
  </si>
  <si>
    <t xml:space="preserve">Pérdida por degradación al año 10</t>
  </si>
  <si>
    <t xml:space="preserve">Generación en el año 30</t>
  </si>
  <si>
    <t xml:space="preserve">3. Consumo</t>
  </si>
  <si>
    <t xml:space="preserve">Estadio</t>
  </si>
  <si>
    <t xml:space="preserve">Plaza Sakbé (locales y áreas comunes)</t>
  </si>
  <si>
    <t xml:space="preserve">Consumo total del conjunto</t>
  </si>
  <si>
    <t xml:space="preserve">4. Balance de todo el conjunto</t>
  </si>
  <si>
    <t xml:space="preserve">Parte del consumo que cubren los paneles</t>
  </si>
  <si>
    <t xml:space="preserve">Paneles vs. consumo del estadio solo</t>
  </si>
  <si>
    <t xml:space="preserve">La cubierta sola genera más de lo que gasta el estadio</t>
  </si>
  <si>
    <t xml:space="preserve">Energía que hay que comprar a la red</t>
  </si>
  <si>
    <t xml:space="preserve">Costo de la energía comprada (todo el conjunto)</t>
  </si>
  <si>
    <t xml:space="preserve">Lo que costaría toda la energía sin paneles</t>
  </si>
  <si>
    <t xml:space="preserve">5. Quién paga qué</t>
  </si>
  <si>
    <t xml:space="preserve">Consumo que pagan los locatarios (su medidor)</t>
  </si>
  <si>
    <t xml:space="preserve">Consumo que paga el dueño</t>
  </si>
  <si>
    <t xml:space="preserve">Estadio + áreas comunes + estacionamiento + cargadores</t>
  </si>
  <si>
    <t xml:space="preserve">Energía que compra el dueño</t>
  </si>
  <si>
    <t xml:space="preserve">Costo de energía del dueño</t>
  </si>
  <si>
    <t xml:space="preserve">Costo de energía de los locatarios</t>
  </si>
  <si>
    <t xml:space="preserve">Lo pagan ellos</t>
  </si>
  <si>
    <t xml:space="preserve">6. Lo que valen los paneles</t>
  </si>
  <si>
    <t xml:space="preserve">Ahorro por energía solar</t>
  </si>
  <si>
    <t xml:space="preserve">Toda la energía solar se usa en el sitio (el conjunto siempre consume más)</t>
  </si>
  <si>
    <t xml:space="preserve">Operación y limpieza de los paneles</t>
  </si>
  <si>
    <t xml:space="preserve">Factor de indirectos y contingencia</t>
  </si>
  <si>
    <t xml:space="preserve">x</t>
  </si>
  <si>
    <t xml:space="preserve">Total sin IVA / costo directo</t>
  </si>
  <si>
    <t xml:space="preserve">Inversión: paneles de la cubierta del estadio</t>
  </si>
  <si>
    <t xml:space="preserve">Inversión: pérgolas solares</t>
  </si>
  <si>
    <t xml:space="preserve">Inversión: sobrecosto del vidrio fotovoltaico</t>
  </si>
  <si>
    <t xml:space="preserve">Inversión solar total</t>
  </si>
  <si>
    <t xml:space="preserve">Recuperación: solo la cubierta del estadio</t>
  </si>
  <si>
    <t xml:space="preserve">Recuperación: pérgolas de la azotea</t>
  </si>
  <si>
    <t xml:space="preserve">Recuperación: vidrio fotovoltaico de la fachada</t>
  </si>
  <si>
    <t xml:space="preserve">No se paga solo: se justifica por imagen y certificación, o se cambia por vidrio normal</t>
  </si>
  <si>
    <t xml:space="preserve">Comparación: esa misma cubierta en ETFE costaría</t>
  </si>
  <si>
    <t xml:space="preserve">Los paneles salen más baratos que la cubierta de ETFE que reemplazan</t>
  </si>
  <si>
    <t xml:space="preserve">Recuperación: todo el sistema solar</t>
  </si>
  <si>
    <t xml:space="preserve">Agua: consumo, lluvia, reúso y costo</t>
  </si>
  <si>
    <t xml:space="preserve">m³ por año. Dinero en millones de MXN.</t>
  </si>
  <si>
    <t xml:space="preserve">Consumo</t>
  </si>
  <si>
    <t xml:space="preserve">Riego del parque y jardines</t>
  </si>
  <si>
    <t xml:space="preserve">Consumo total</t>
  </si>
  <si>
    <t xml:space="preserve">De dónde sale</t>
  </si>
  <si>
    <t xml:space="preserve">Lluvia captada</t>
  </si>
  <si>
    <t xml:space="preserve">Cisternas de 7,700 m³ en el sótano</t>
  </si>
  <si>
    <t xml:space="preserve">Agua comprada a la red</t>
  </si>
  <si>
    <t xml:space="preserve">Parte que no viene de la red</t>
  </si>
  <si>
    <t xml:space="preserve">Costo</t>
  </si>
  <si>
    <t xml:space="preserve">Agua comprada</t>
  </si>
  <si>
    <t xml:space="preserve">Tratamiento del agua reusada</t>
  </si>
  <si>
    <t xml:space="preserve">Costo total del agua</t>
  </si>
  <si>
    <t xml:space="preserve">El dueño la paga y la recupera en parte con la cuota de mantenimiento</t>
  </si>
  <si>
    <t xml:space="preserve">Ahorro por lluvia y reúso</t>
  </si>
  <si>
    <t xml:space="preserve">Todas las fuentes de ingreso (año estable de operación)</t>
  </si>
  <si>
    <t xml:space="preserve">Millones de MXN por año. Lo que entra al dueño del estadio y la plaza (no la taquilla completa del promotor).</t>
  </si>
  <si>
    <t xml:space="preserve">A. Estadio: eventos</t>
  </si>
  <si>
    <t xml:space="preserve">% de taquilla (venue fee)</t>
  </si>
  <si>
    <t xml:space="preserve">Todos los eventos menos fútbol</t>
  </si>
  <si>
    <t xml:space="preserve">B. Estadio: lo que gasta el público</t>
  </si>
  <si>
    <t xml:space="preserve">C. Estadio: palcos, patrocinios y publicidad</t>
  </si>
  <si>
    <t xml:space="preserve">D. Estadio: días sin evento</t>
  </si>
  <si>
    <t xml:space="preserve">E. Plaza Sakbé</t>
  </si>
  <si>
    <t xml:space="preserve">Paga la operación de áreas comunes</t>
  </si>
  <si>
    <t xml:space="preserve">F. Energía y reciclaje</t>
  </si>
  <si>
    <t xml:space="preserve">Total estadio (A a D)</t>
  </si>
  <si>
    <t xml:space="preserve">Total Plaza Sakbé (E)</t>
  </si>
  <si>
    <t xml:space="preserve">Ingresos totales en dólares</t>
  </si>
  <si>
    <t xml:space="preserve">Fuentes de ingreso contadas</t>
  </si>
  <si>
    <t xml:space="preserve">fuentes</t>
  </si>
  <si>
    <t xml:space="preserve">Aparte: ahorro por paneles solares (ya está restado en el costo de energía)</t>
  </si>
  <si>
    <t xml:space="preserve">Lo que deja cada concierto extra</t>
  </si>
  <si>
    <t xml:space="preserve">Renta y cuota de instalación</t>
  </si>
  <si>
    <t xml:space="preserve">Comisión de boletaje</t>
  </si>
  <si>
    <t xml:space="preserve">Alimentos, mercancía y VIP</t>
  </si>
  <si>
    <t xml:space="preserve">Estacionamiento</t>
  </si>
  <si>
    <t xml:space="preserve">Menos: personal, energía y agua del evento</t>
  </si>
  <si>
    <t xml:space="preserve">Ganancia neta por concierto extra</t>
  </si>
  <si>
    <t xml:space="preserve">Costos de operación (año estable)</t>
  </si>
  <si>
    <t xml:space="preserve">Millones de MXN por año.</t>
  </si>
  <si>
    <t xml:space="preserve">Personal</t>
  </si>
  <si>
    <t xml:space="preserve">Personal por evento</t>
  </si>
  <si>
    <t xml:space="preserve">Energía y agua</t>
  </si>
  <si>
    <t xml:space="preserve">Energía comprada a la red (parte del dueño)</t>
  </si>
  <si>
    <t xml:space="preserve">Ya descuenta los paneles solares</t>
  </si>
  <si>
    <t xml:space="preserve">Agua (comprada + tratamiento)</t>
  </si>
  <si>
    <t xml:space="preserve">Mantenimiento</t>
  </si>
  <si>
    <t xml:space="preserve">Contratos de escaleras eléctricas</t>
  </si>
  <si>
    <t xml:space="preserve">Contratos de elevadores</t>
  </si>
  <si>
    <t xml:space="preserve">Techo retráctil</t>
  </si>
  <si>
    <t xml:space="preserve">Cancha</t>
  </si>
  <si>
    <t xml:space="preserve">Jardinería y árboles</t>
  </si>
  <si>
    <t xml:space="preserve">Reserva para reposiciones mayores</t>
  </si>
  <si>
    <t xml:space="preserve">Servicios</t>
  </si>
  <si>
    <t xml:space="preserve">Limpieza permanente</t>
  </si>
  <si>
    <t xml:space="preserve">Operación de áreas comunes de la plaza (limpieza, seguridad, parque)</t>
  </si>
  <si>
    <t xml:space="preserve">Igual a la cuota de mantenimiento que pagan los locatarios</t>
  </si>
  <si>
    <t xml:space="preserve">Administración, seguros e impuestos locales</t>
  </si>
  <si>
    <t xml:space="preserve">Comisiones por venta de patrocinios, naming y palcos</t>
  </si>
  <si>
    <t xml:space="preserve">Seguros</t>
  </si>
  <si>
    <t xml:space="preserve">Subtotal</t>
  </si>
  <si>
    <t xml:space="preserve">Imprevistos</t>
  </si>
  <si>
    <t xml:space="preserve">COSTOS DE OPERACIÓN TOTALES</t>
  </si>
  <si>
    <t xml:space="preserve">Resultado de operación</t>
  </si>
  <si>
    <t xml:space="preserve">Ingresos totales</t>
  </si>
  <si>
    <t xml:space="preserve">EBITDA (lo que queda antes de impuestos y de pagar la obra)</t>
  </si>
  <si>
    <t xml:space="preserve">Flujo de efectivo: 4 años de obra + 30 años de operación</t>
  </si>
  <si>
    <t xml:space="preserve">Millones de MXN de 2026. Los ingresos y costos estables vienen de las hojas Ingresos y Costos_Operacion; los paneles pierden 0.5 % al año y esa energía se compra a la red.</t>
  </si>
  <si>
    <t xml:space="preserve">Escenario Conservador</t>
  </si>
  <si>
    <t xml:space="preserve">Año</t>
  </si>
  <si>
    <t xml:space="preserve">Obra 1</t>
  </si>
  <si>
    <t xml:space="preserve">Obra 2</t>
  </si>
  <si>
    <t xml:space="preserve">Obra 3</t>
  </si>
  <si>
    <t xml:space="preserve">Obra 4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</si>
  <si>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</si>
  <si>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</si>
  <si>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</si>
  <si>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</si>
  <si>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</si>
  <si>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</si>
  <si>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</si>
  <si>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</si>
  <si>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</si>
  <si>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</si>
  <si>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</si>
  <si>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</si>
  <si>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</si>
  <si>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</si>
  <si>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</si>
  <si>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</si>
  <si>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</si>
  <si>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</si>
  <si>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</si>
  <si>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</si>
  <si>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</si>
  <si>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</si>
  <si>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</si>
  <si>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</si>
  <si>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</si>
  <si>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</si>
  <si>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</si>
  <si>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</si>
  <si>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</si>
  <si>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</si>
  <si>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Fase</t>
  </si>
  <si>
    <t xml:space="preserve">Inversión</t>
  </si>
  <si>
    <t xml:space="preserve">Ingresos</t>
  </si>
  <si>
    <t xml:space="preserve">Energía extra por degradación de paneles</t>
  </si>
  <si>
    <t xml:space="preserve">EBITDA</t>
  </si>
  <si>
    <t xml:space="preserve">Depreciación fiscal</t>
  </si>
  <si>
    <t xml:space="preserve">Flujo antes de impuestos</t>
  </si>
  <si>
    <t xml:space="preserve">Flujo después de impuestos</t>
  </si>
  <si>
    <t xml:space="preserve">Acumulado</t>
  </si>
  <si>
    <t xml:space="preserve">Flujo descontado</t>
  </si>
  <si>
    <t xml:space="preserve">Acumulado descontado</t>
  </si>
  <si>
    <t xml:space="preserve">Recuperación (años desde la apertura)</t>
  </si>
  <si>
    <t xml:space="preserve">Recuperación descontada (años desde la apertura)</t>
  </si>
  <si>
    <t xml:space="preserve">Efectivo acumulado al año 30</t>
  </si>
  <si>
    <t xml:space="preserve">Escenario Base</t>
  </si>
  <si>
    <t xml:space="preserve">Escenario Optimista</t>
  </si>
  <si>
    <t xml:space="preserve">Escenario Base con APP</t>
  </si>
  <si>
    <t xml:space="preserve">Derrama económica: lo que mueve en la ciudad</t>
  </si>
  <si>
    <t xml:space="preserve">No es ganancia del dueño: es el dinero y los empleos que el proyecto genera alrededor. Millones de MXN por año.</t>
  </si>
  <si>
    <t xml:space="preserve">Gente</t>
  </si>
  <si>
    <t xml:space="preserve">Asistentes a eventos</t>
  </si>
  <si>
    <t xml:space="preserve">Dinero que se mueve al año</t>
  </si>
  <si>
    <t xml:space="preserve">Taquillas de todos los eventos</t>
  </si>
  <si>
    <t xml:space="preserve">Alimentos, bebidas y mercancía dentro del estadio</t>
  </si>
  <si>
    <t xml:space="preserve">Gasto de asistentes fuera del estadio</t>
  </si>
  <si>
    <t xml:space="preserve">Hoteles y comidas de visitantes foráneos</t>
  </si>
  <si>
    <t xml:space="preserve">Ventas de los locatarios de la plaza</t>
  </si>
  <si>
    <t xml:space="preserve">Renta ÷ costo de ocupación</t>
  </si>
  <si>
    <t xml:space="preserve">Ingresos del dueño</t>
  </si>
  <si>
    <t xml:space="preserve">Derrama total al año</t>
  </si>
  <si>
    <t xml:space="preserve">Suma simple, sin multiplicador</t>
  </si>
  <si>
    <t xml:space="preserve">Empleos</t>
  </si>
  <si>
    <t xml:space="preserve">Empleos permanentes en la plaza</t>
  </si>
  <si>
    <t xml:space="preserve">empleos</t>
  </si>
  <si>
    <t xml:space="preserve">Empleos permanentes del estadio</t>
  </si>
  <si>
    <t xml:space="preserve">Empleos permanentes</t>
  </si>
  <si>
    <t xml:space="preserve">Empleos por día de evento</t>
  </si>
  <si>
    <t xml:space="preserve">Más el personal del concesionario y del promotor</t>
  </si>
  <si>
    <t xml:space="preserve">Empleos promedio durante la obra (4 años)</t>
  </si>
  <si>
    <t xml:space="preserve">Impuestos que genera</t>
  </si>
  <si>
    <t xml:space="preserve">IVA sobre ventas del dueño, taquillas y locatarios</t>
  </si>
  <si>
    <t xml:space="preserve">IVA de la obra (una sola vez)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</si>
</sst>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;\(#,##0\);\-"/>
    <numFmt numFmtId="166" formatCode="0.0%;\(0.0%\);\-"/>
    <numFmt numFmtId="167" formatCode="0.0&quot; años&quot;"/>
    <numFmt numFmtId="168" formatCode="0"/>
    <numFmt numFmtId="169" formatCode="#,##0.0;\(#,##0.0\);\-"/>
    <numFmt numFmtId="170" formatCode="0.00"/>
    <numFmt numFmtId="171" formatCode="0.0"/>
    <numFmt numFmtId="172" formatCode="0.000"/>
    <numFmt numFmtId="173" formatCode="0.0%"/>
    <numFmt numFmtId="174" formatCode="0.0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5241E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A66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color rgb="FF5A665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8"/>
      <color rgb="FF5A665F"/>
      <name val="Arial"/>
      <family val="0"/>
      <charset val="1"/>
    </font>
    <font>
      <b val="true"/>
      <sz val="11"/>
      <color rgb="FF8A5414"/>
      <name val="Arial"/>
      <family val="0"/>
      <charset val="1"/>
    </font>
    <font>
      <sz val="10"/>
      <color rgb="FF3D4A44"/>
      <name val="Arial"/>
      <family val="0"/>
      <charset val="1"/>
    </font>
    <font>
      <sz val="8"/>
      <color rgb="FF9AA39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5"/>
      <color rgb="FF15241E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5241E"/>
        <bgColor rgb="FF333300"/>
      </patternFill>
    </fill>
    <fill>
      <patternFill patternType="solid">
        <fgColor rgb="FFE8E1D1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A541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2A"/>
      <rgbColor rgb="FF800080"/>
      <rgbColor rgb="FF2F6F5B"/>
      <rgbColor rgb="FFC0C0C0"/>
      <rgbColor rgb="FF878787"/>
      <rgbColor rgb="FF9999FF"/>
      <rgbColor rgb="FF993366"/>
      <rgbColor rgb="FFE8E1D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5F"/>
      <rgbColor rgb="FF9AA39E"/>
      <rgbColor rgb="FF003366"/>
      <rgbColor rgb="FF339966"/>
      <rgbColor rgb="FF15241E"/>
      <rgbColor rgb="FF333300"/>
      <rgbColor rgb="FF8A5414"/>
      <rgbColor rgb="FF993366"/>
      <rgbColor rgb="FF333399"/>
      <rgbColor rgb="FF3D4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 por grupo, escenario Base (M MXN/año)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2f6f5b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Ingresos!$A$60:$A$65</c:f>
              <c:strCache>
                <c:ptCount val="6"/>
                <c:pt idx="0">
                  <c:v>Estadio: eventos</c:v>
                </c:pt>
                <c:pt idx="1">
                  <c:v>Estadio: gasto del público</c:v>
                </c:pt>
                <c:pt idx="2">
                  <c:v>Estadio: palcos y patrocinios</c:v>
                </c:pt>
                <c:pt idx="3">
                  <c:v>Estadio: días sin evento</c:v>
                </c:pt>
                <c:pt idx="4">
                  <c:v>Plaza Sakbé</c:v>
                </c:pt>
                <c:pt idx="5">
                  <c:v>Energía y reciclaje</c:v>
                </c:pt>
              </c:strCache>
            </c:strRef>
          </c:cat>
          <c:val>
            <c:numRef>
              <c:f>Ingresos!$D$60:$D$65</c:f>
              <c:numCache>
                <c:formatCode>#,##0;\(#,##0\);\-</c:formatCode>
                <c:ptCount val="6"/>
                <c:pt idx="0">
                  <c:v>796.712</c:v>
                </c:pt>
                <c:pt idx="1">
                  <c:v>570.7104</c:v>
                </c:pt>
                <c:pt idx="2">
                  <c:v>965</c:v>
                </c:pt>
                <c:pt idx="3">
                  <c:v>174.5</c:v>
                </c:pt>
                <c:pt idx="4">
                  <c:v>1941.349659424</c:v>
                </c:pt>
                <c:pt idx="5">
                  <c:v>18.1654248037696</c:v>
                </c:pt>
              </c:numCache>
            </c:numRef>
          </c:val>
        </c:ser>
        <c:gapWidth val="150"/>
        <c:overlap val="0"/>
        <c:axId val="14574652"/>
        <c:axId val="30557327"/>
      </c:barChart>
      <c:catAx>
        <c:axId val="145746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57327"/>
        <c:crosses val="autoZero"/>
        <c:auto val="1"/>
        <c:lblAlgn val="ctr"/>
        <c:lblOffset val="100"/>
        <c:noMultiLvlLbl val="0"/>
      </c:catAx>
      <c:valAx>
        <c:axId val="30557327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746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Energía, escenario Base (GWh/año)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b07a2a"/>
            </a:solidFill>
            <a:ln w="936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Resumen!$K$120:$K$124</c:f>
              <c:strCache>
                <c:ptCount val="5"/>
                <c:pt idx="0">
                  <c:v>Generación solar</c:v>
                </c:pt>
                <c:pt idx="1">
                  <c:v>Consumo del estadio</c:v>
                </c:pt>
                <c:pt idx="2">
                  <c:v>Consumo de la plaza</c:v>
                </c:pt>
                <c:pt idx="3">
                  <c:v>Estacionamiento y cargadores</c:v>
                </c:pt>
                <c:pt idx="4">
                  <c:v>Comprada a la red</c:v>
                </c:pt>
              </c:strCache>
            </c:strRef>
          </c:cat>
          <c:val>
            <c:numRef>
              <c:f>Resumen!$L$120:$L$124</c:f>
              <c:numCache>
                <c:formatCode>#,##0.0;\(#,##0.0\);\-</c:formatCode>
                <c:ptCount val="5"/>
                <c:pt idx="0">
                  <c:v>15.9247493458987</c:v>
                </c:pt>
                <c:pt idx="1">
                  <c:v>8.594</c:v>
                </c:pt>
                <c:pt idx="2">
                  <c:v>44.39966</c:v>
                </c:pt>
                <c:pt idx="3">
                  <c:v>5.591297</c:v>
                </c:pt>
                <c:pt idx="4">
                  <c:v>42.6602076541013</c:v>
                </c:pt>
              </c:numCache>
            </c:numRef>
          </c:val>
        </c:ser>
        <c:gapWidth val="150"/>
        <c:overlap val="0"/>
        <c:axId val="97614766"/>
        <c:axId val="76053294"/>
      </c:barChart>
      <c:catAx>
        <c:axId val="9761476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53294"/>
        <c:crosses val="autoZero"/>
        <c:auto val="1"/>
        <c:lblAlgn val="ctr"/>
        <c:lblOffset val="100"/>
        <c:noMultiLvlLbl val="0"/>
      </c:catAx>
      <c:valAx>
        <c:axId val="76053294"/>
        <c:scaling>
          <c:orientation val="minMax"/>
        </c:scaling>
        <c:delete val="0"/>
        <c:axPos val="l"/>
        <c:numFmt formatCode="#,##0.0;\(#,##0.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147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131040</xdr:rowOff>
    </xdr:from>
    <xdr:to>
      <xdr:col>12</xdr:col>
      <xdr:colOff>212040</xdr:colOff>
      <xdr:row>18</xdr:row>
      <xdr:rowOff>153000</xdr:rowOff>
    </xdr:to>
    <xdr:graphicFrame>
      <xdr:nvGraphicFramePr>
        <xdr:cNvPr id="0" name="Chart 1"/>
        <xdr:cNvGraphicFramePr/>
      </xdr:nvGraphicFramePr>
      <xdr:xfrm>
        <a:off x="937440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131040</xdr:rowOff>
    </xdr:from>
    <xdr:to>
      <xdr:col>12</xdr:col>
      <xdr:colOff>212040</xdr:colOff>
      <xdr:row>36</xdr:row>
      <xdr:rowOff>153000</xdr:rowOff>
    </xdr:to>
    <xdr:graphicFrame>
      <xdr:nvGraphicFramePr>
        <xdr:cNvPr id="1" name="Chart 2"/>
        <xdr:cNvGraphicFramePr/>
      </xdr:nvGraphicFramePr>
      <xdr:xfrm>
        <a:off x="9374400" y="4191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9"/>
    <col collapsed="false" customWidth="true" hidden="false" outlineLevel="0" max="5" min="3" style="0" width="16"/>
    <col collapsed="false" customWidth="true" hidden="false" outlineLevel="0" max="6" min="6" style="0" width="4"/>
    <col collapsed="false" customWidth="true" hidden="false" outlineLevel="0" max="7" min="7" style="0" width="40"/>
    <col collapsed="false" customWidth="true" hidden="false" outlineLevel="0" max="9" min="9" style="0" width="4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false" outlineLevel="0" collapsed="false">
      <c r="A5" s="4" t="s">
        <v>2</v>
      </c>
      <c r="B5" s="4" t="s">
        <v>3</v>
      </c>
      <c r="C5" s="5" t="s">
        <v>4</v>
      </c>
      <c r="D5" s="5" t="s">
        <v>5</v>
      </c>
      <c r="E5" s="5" t="s">
        <v>6</v>
      </c>
      <c r="F5" s="2"/>
      <c r="G5" s="2"/>
      <c r="H5" s="2"/>
      <c r="I5" s="2"/>
      <c r="J5" s="2"/>
      <c r="K5" s="2"/>
      <c r="L5" s="2"/>
    </row>
    <row r="6" customFormat="false" ht="15" hidden="false" customHeight="false" outlineLevel="0" collapsed="false">
      <c r="A6" s="6" t="s">
        <v>7</v>
      </c>
      <c r="B6" s="7" t="s">
        <v>8</v>
      </c>
      <c r="C6" s="8" t="n">
        <f aca="false">Supuestos!$C$8</f>
        <v>53245</v>
      </c>
      <c r="D6" s="8" t="n">
        <f aca="false">Supuestos!$D$8</f>
        <v>53245</v>
      </c>
      <c r="E6" s="8" t="n">
        <f aca="false">Supuestos!$E$8</f>
        <v>53245</v>
      </c>
      <c r="F6" s="2"/>
      <c r="G6" s="2"/>
      <c r="H6" s="2"/>
      <c r="I6" s="2"/>
      <c r="J6" s="2"/>
      <c r="K6" s="2"/>
      <c r="L6" s="2"/>
    </row>
    <row r="7" customFormat="false" ht="15" hidden="false" customHeight="false" outlineLevel="0" collapsed="false">
      <c r="A7" s="6" t="s">
        <v>9</v>
      </c>
      <c r="B7" s="7" t="s">
        <v>10</v>
      </c>
      <c r="C7" s="8" t="n">
        <f aca="false">Eventos!$C$63</f>
        <v>42</v>
      </c>
      <c r="D7" s="8" t="n">
        <f aca="false">Eventos!$D$63</f>
        <v>58</v>
      </c>
      <c r="E7" s="8" t="n">
        <f aca="false">Eventos!$E$63</f>
        <v>77</v>
      </c>
      <c r="F7" s="2"/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A8" s="6" t="s">
        <v>11</v>
      </c>
      <c r="B8" s="7" t="s">
        <v>12</v>
      </c>
      <c r="C8" s="8" t="n">
        <f aca="false">Eventos!$C$23</f>
        <v>8</v>
      </c>
      <c r="D8" s="8" t="n">
        <f aca="false">Eventos!$D$23</f>
        <v>12</v>
      </c>
      <c r="E8" s="8" t="n">
        <f aca="false">Eventos!$E$23</f>
        <v>18</v>
      </c>
      <c r="F8" s="2"/>
      <c r="G8" s="2"/>
      <c r="H8" s="2"/>
      <c r="I8" s="2"/>
      <c r="J8" s="2"/>
      <c r="K8" s="2"/>
      <c r="L8" s="2"/>
    </row>
    <row r="9" customFormat="false" ht="15" hidden="false" customHeight="false" outlineLevel="0" collapsed="false">
      <c r="A9" s="6" t="s">
        <v>13</v>
      </c>
      <c r="B9" s="7" t="s">
        <v>14</v>
      </c>
      <c r="C9" s="8" t="n">
        <f aca="false">Eventos!$C$64</f>
        <v>2195000</v>
      </c>
      <c r="D9" s="8" t="n">
        <f aca="false">Eventos!$D$64</f>
        <v>3742000</v>
      </c>
      <c r="E9" s="8" t="n">
        <f aca="false">Eventos!$E$64</f>
        <v>5805000</v>
      </c>
      <c r="F9" s="2"/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A10" s="6" t="s">
        <v>15</v>
      </c>
      <c r="B10" s="7" t="s">
        <v>16</v>
      </c>
      <c r="C10" s="8" t="n">
        <f aca="false">Ingresos!$C$66</f>
        <v>1147.8325</v>
      </c>
      <c r="D10" s="8" t="n">
        <f aca="false">Ingresos!$D$66</f>
        <v>2506.9224</v>
      </c>
      <c r="E10" s="8" t="n">
        <f aca="false">Ingresos!$E$66</f>
        <v>4829.6638</v>
      </c>
      <c r="F10" s="2"/>
      <c r="G10" s="2"/>
      <c r="H10" s="2"/>
      <c r="I10" s="2"/>
      <c r="J10" s="2"/>
      <c r="K10" s="2"/>
      <c r="L10" s="2"/>
    </row>
    <row r="11" customFormat="false" ht="15" hidden="false" customHeight="false" outlineLevel="0" collapsed="false">
      <c r="A11" s="6" t="s">
        <v>17</v>
      </c>
      <c r="B11" s="7" t="s">
        <v>16</v>
      </c>
      <c r="C11" s="8" t="n">
        <f aca="false">Ingresos!$C$67</f>
        <v>1340.623360304</v>
      </c>
      <c r="D11" s="8" t="n">
        <f aca="false">Ingresos!$D$67</f>
        <v>1941.349659424</v>
      </c>
      <c r="E11" s="8" t="n">
        <f aca="false">Ingresos!$E$67</f>
        <v>2640.913230336</v>
      </c>
      <c r="F11" s="2"/>
      <c r="G11" s="2"/>
      <c r="H11" s="2"/>
      <c r="I11" s="2"/>
      <c r="J11" s="2"/>
      <c r="K11" s="2"/>
      <c r="L11" s="2"/>
    </row>
    <row r="12" customFormat="false" ht="15" hidden="false" customHeight="false" outlineLevel="0" collapsed="false">
      <c r="A12" s="6" t="s">
        <v>18</v>
      </c>
      <c r="B12" s="7" t="s">
        <v>16</v>
      </c>
      <c r="C12" s="8" t="n">
        <f aca="false">Ingresos!$C$65</f>
        <v>9.9101513509508</v>
      </c>
      <c r="D12" s="8" t="n">
        <f aca="false">Ingresos!$D$65</f>
        <v>18.1654248037696</v>
      </c>
      <c r="E12" s="8" t="n">
        <f aca="false">Ingresos!$E$65</f>
        <v>28.928858046908</v>
      </c>
      <c r="F12" s="2"/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A13" s="9" t="s">
        <v>19</v>
      </c>
      <c r="B13" s="10" t="s">
        <v>16</v>
      </c>
      <c r="C13" s="11" t="n">
        <f aca="false">Ingresos!$C$68</f>
        <v>2498.36601165495</v>
      </c>
      <c r="D13" s="11" t="n">
        <f aca="false">Ingresos!$D$68</f>
        <v>4466.43748422777</v>
      </c>
      <c r="E13" s="11" t="n">
        <f aca="false">Ingresos!$E$68</f>
        <v>7499.50588838291</v>
      </c>
      <c r="F13" s="2"/>
      <c r="G13" s="2"/>
      <c r="H13" s="2"/>
      <c r="I13" s="2"/>
      <c r="J13" s="2"/>
      <c r="K13" s="2"/>
      <c r="L13" s="2"/>
    </row>
    <row r="14" customFormat="false" ht="15" hidden="false" customHeight="false" outlineLevel="0" collapsed="false">
      <c r="A14" s="6" t="s">
        <v>20</v>
      </c>
      <c r="B14" s="7" t="s">
        <v>16</v>
      </c>
      <c r="C14" s="12" t="n">
        <f aca="false">-Costos_Operacion!$C$42</f>
        <v>-1881.56950138754</v>
      </c>
      <c r="D14" s="12" t="n">
        <f aca="false">-Costos_Operacion!$D$42</f>
        <v>-1718.09656364913</v>
      </c>
      <c r="E14" s="12" t="n">
        <f aca="false">-Costos_Operacion!$E$42</f>
        <v>-1627.93509995273</v>
      </c>
      <c r="F14" s="2"/>
      <c r="G14" s="2"/>
      <c r="H14" s="2"/>
      <c r="I14" s="2"/>
      <c r="J14" s="2"/>
      <c r="K14" s="2"/>
      <c r="L14" s="2"/>
    </row>
    <row r="15" customFormat="false" ht="15" hidden="false" customHeight="false" outlineLevel="0" collapsed="false">
      <c r="A15" s="9" t="s">
        <v>21</v>
      </c>
      <c r="B15" s="10" t="s">
        <v>16</v>
      </c>
      <c r="C15" s="11" t="n">
        <f aca="false">Costos_Operacion!$C$46</f>
        <v>616.796510267407</v>
      </c>
      <c r="D15" s="11" t="n">
        <f aca="false">Costos_Operacion!$D$46</f>
        <v>2748.34092057864</v>
      </c>
      <c r="E15" s="11" t="n">
        <f aca="false">Costos_Operacion!$E$46</f>
        <v>5871.57078843018</v>
      </c>
      <c r="F15" s="2"/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A16" s="6" t="s">
        <v>22</v>
      </c>
      <c r="B16" s="7" t="s">
        <v>23</v>
      </c>
      <c r="C16" s="13" t="n">
        <f aca="false">Costos_Operacion!$C$47</f>
        <v>0.246879963700288</v>
      </c>
      <c r="D16" s="13" t="n">
        <f aca="false">Costos_Operacion!$D$47</f>
        <v>0.615331778466349</v>
      </c>
      <c r="E16" s="13" t="n">
        <f aca="false">Costos_Operacion!$E$47</f>
        <v>0.782927685612665</v>
      </c>
      <c r="F16" s="2"/>
      <c r="G16" s="2"/>
      <c r="H16" s="2"/>
      <c r="I16" s="2"/>
      <c r="J16" s="2"/>
      <c r="K16" s="2"/>
      <c r="L16" s="2"/>
    </row>
    <row r="17" customFormat="false" ht="15" hidden="false" customHeight="false" outlineLevel="0" collapsed="false">
      <c r="A17" s="14" t="s">
        <v>24</v>
      </c>
      <c r="B17" s="7" t="s">
        <v>25</v>
      </c>
      <c r="C17" s="15" t="n">
        <f aca="false">Supuestos!$C$8/Costos_Operacion!$C$46</f>
        <v>86.3250668797009</v>
      </c>
      <c r="D17" s="15" t="n">
        <f aca="false">Supuestos!$D$8/Costos_Operacion!$D$46</f>
        <v>19.3735062492865</v>
      </c>
      <c r="E17" s="15" t="n">
        <f aca="false">Supuestos!$E$8/Costos_Operacion!$E$46</f>
        <v>9.0682718336494</v>
      </c>
      <c r="F17" s="2"/>
      <c r="G17" s="2"/>
      <c r="H17" s="2"/>
      <c r="I17" s="2"/>
      <c r="J17" s="2"/>
      <c r="K17" s="2"/>
      <c r="L17" s="2"/>
    </row>
    <row r="18" customFormat="false" ht="15" hidden="false" customHeight="false" outlineLevel="0" collapsed="false">
      <c r="A18" s="6" t="s">
        <v>26</v>
      </c>
      <c r="B18" s="7" t="s">
        <v>27</v>
      </c>
      <c r="C18" s="16" t="str">
        <f aca="false">Flujo_30_anios!$B$22</f>
        <v>más de 30</v>
      </c>
      <c r="D18" s="16" t="n">
        <f aca="false">Flujo_30_anios!$B$45</f>
        <v>20</v>
      </c>
      <c r="E18" s="16" t="n">
        <f aca="false">Flujo_30_anios!$B$68</f>
        <v>12</v>
      </c>
      <c r="F18" s="2"/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A19" s="6" t="s">
        <v>28</v>
      </c>
      <c r="B19" s="7" t="s">
        <v>23</v>
      </c>
      <c r="C19" s="17" t="n">
        <f aca="false">Flujo_30_anios!$B$20</f>
        <v>-0.0554369182512797</v>
      </c>
      <c r="D19" s="17" t="n">
        <f aca="false">Flujo_30_anios!$B$43</f>
        <v>0.0262132526000795</v>
      </c>
      <c r="E19" s="17" t="n">
        <f aca="false">Flujo_30_anios!$B$66</f>
        <v>0.0876286172681369</v>
      </c>
      <c r="F19" s="2"/>
      <c r="G19" s="2"/>
      <c r="H19" s="2"/>
      <c r="I19" s="2"/>
      <c r="J19" s="2"/>
      <c r="K19" s="2"/>
      <c r="L19" s="2"/>
    </row>
    <row r="20" customFormat="false" ht="15" hidden="false" customHeight="false" outlineLevel="0" collapsed="false">
      <c r="A20" s="14" t="s">
        <v>29</v>
      </c>
      <c r="B20" s="7" t="s">
        <v>23</v>
      </c>
      <c r="C20" s="18" t="n">
        <f aca="false">Flujo_30_anios!$B$21</f>
        <v>-0.0635611916849186</v>
      </c>
      <c r="D20" s="18" t="n">
        <f aca="false">Flujo_30_anios!$B$44</f>
        <v>0.0201390503100861</v>
      </c>
      <c r="E20" s="18" t="n">
        <f aca="false">Flujo_30_anios!$B$67</f>
        <v>0.0694037519082817</v>
      </c>
      <c r="F20" s="2"/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A21" s="6" t="s">
        <v>30</v>
      </c>
      <c r="B21" s="7" t="s">
        <v>8</v>
      </c>
      <c r="C21" s="12" t="n">
        <f aca="false">Flujo_30_anios!$B$19</f>
        <v>-43123.8640597568</v>
      </c>
      <c r="D21" s="12" t="n">
        <f aca="false">Flujo_30_anios!$B$42</f>
        <v>-25058.1172348256</v>
      </c>
      <c r="E21" s="12" t="n">
        <f aca="false">Flujo_30_anios!$B$65</f>
        <v>-324.735575298585</v>
      </c>
      <c r="F21" s="2"/>
      <c r="G21" s="2"/>
      <c r="H21" s="2"/>
      <c r="I21" s="2"/>
      <c r="J21" s="2"/>
      <c r="K21" s="2"/>
      <c r="L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customFormat="false" ht="15" hidden="false" customHeight="false" outlineLevel="0" collapsed="false">
      <c r="A23" s="4" t="s">
        <v>31</v>
      </c>
      <c r="B23" s="4" t="s">
        <v>3</v>
      </c>
      <c r="C23" s="5" t="s">
        <v>4</v>
      </c>
      <c r="D23" s="5" t="s">
        <v>5</v>
      </c>
      <c r="E23" s="5" t="s">
        <v>6</v>
      </c>
      <c r="F23" s="2"/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A24" s="6" t="s">
        <v>32</v>
      </c>
      <c r="B24" s="7" t="s">
        <v>33</v>
      </c>
      <c r="C24" s="19" t="n">
        <f aca="false">Energia!$C$16/1000</f>
        <v>12.58117</v>
      </c>
      <c r="D24" s="19" t="n">
        <f aca="false">Energia!$D$16/1000</f>
        <v>13.1109</v>
      </c>
      <c r="E24" s="19" t="n">
        <f aca="false">Energia!$E$16/1000</f>
        <v>13.64063</v>
      </c>
      <c r="F24" s="2"/>
      <c r="G24" s="2"/>
      <c r="H24" s="2"/>
      <c r="I24" s="2"/>
      <c r="J24" s="2"/>
      <c r="K24" s="2"/>
      <c r="L24" s="2"/>
    </row>
    <row r="25" customFormat="false" ht="15" hidden="false" customHeight="false" outlineLevel="0" collapsed="false">
      <c r="A25" s="14" t="s">
        <v>34</v>
      </c>
      <c r="B25" s="7" t="s">
        <v>35</v>
      </c>
      <c r="C25" s="20" t="n">
        <f aca="false">Energia!$C$20</f>
        <v>13.890756754754</v>
      </c>
      <c r="D25" s="20" t="n">
        <f aca="false">Energia!$D$20</f>
        <v>15.9247493458987</v>
      </c>
      <c r="E25" s="20" t="n">
        <f aca="false">Energia!$E$20</f>
        <v>18.8321451172701</v>
      </c>
      <c r="F25" s="2"/>
      <c r="G25" s="2"/>
      <c r="H25" s="2"/>
      <c r="I25" s="2"/>
      <c r="J25" s="2"/>
      <c r="K25" s="2"/>
      <c r="L25" s="2"/>
    </row>
    <row r="26" customFormat="false" ht="15" hidden="false" customHeight="false" outlineLevel="0" collapsed="false">
      <c r="A26" s="6" t="s">
        <v>36</v>
      </c>
      <c r="B26" s="7" t="s">
        <v>35</v>
      </c>
      <c r="C26" s="21" t="n">
        <f aca="false">Energia!$C$22</f>
        <v>5.15070790524598</v>
      </c>
      <c r="D26" s="21" t="n">
        <f aca="false">Energia!$D$22</f>
        <v>4.7737153741013</v>
      </c>
      <c r="E26" s="21" t="n">
        <f aca="false">Energia!$E$22</f>
        <v>4.15820288272991</v>
      </c>
      <c r="F26" s="2"/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A27" s="14" t="s">
        <v>37</v>
      </c>
      <c r="B27" s="7" t="s">
        <v>35</v>
      </c>
      <c r="C27" s="20" t="n">
        <f aca="false">Energia!$C$31</f>
        <v>65.983664</v>
      </c>
      <c r="D27" s="20" t="n">
        <f aca="false">Energia!$D$31</f>
        <v>58.584957</v>
      </c>
      <c r="E27" s="20" t="n">
        <f aca="false">Energia!$E$31</f>
        <v>53.44767</v>
      </c>
      <c r="F27" s="2"/>
      <c r="G27" s="2"/>
      <c r="H27" s="2"/>
      <c r="I27" s="2"/>
      <c r="J27" s="2"/>
      <c r="K27" s="2"/>
      <c r="L27" s="2"/>
    </row>
    <row r="28" customFormat="false" ht="15" hidden="false" customHeight="false" outlineLevel="0" collapsed="false">
      <c r="A28" s="6" t="s">
        <v>38</v>
      </c>
      <c r="B28" s="7" t="s">
        <v>35</v>
      </c>
      <c r="C28" s="21" t="n">
        <f aca="false">Energia!$C$27</f>
        <v>8.652</v>
      </c>
      <c r="D28" s="21" t="n">
        <f aca="false">Energia!$D$27</f>
        <v>8.594</v>
      </c>
      <c r="E28" s="21" t="n">
        <f aca="false">Energia!$E$27</f>
        <v>8.721</v>
      </c>
      <c r="F28" s="2"/>
      <c r="G28" s="2"/>
      <c r="H28" s="2"/>
      <c r="I28" s="2"/>
      <c r="J28" s="2"/>
      <c r="K28" s="2"/>
      <c r="L28" s="2"/>
    </row>
    <row r="29" customFormat="false" ht="15" hidden="false" customHeight="false" outlineLevel="0" collapsed="false">
      <c r="A29" s="6" t="s">
        <v>39</v>
      </c>
      <c r="B29" s="7" t="s">
        <v>35</v>
      </c>
      <c r="C29" s="21" t="n">
        <f aca="false">Energia!$C$28</f>
        <v>52.12134</v>
      </c>
      <c r="D29" s="21" t="n">
        <f aca="false">Energia!$D$28</f>
        <v>44.39966</v>
      </c>
      <c r="E29" s="21" t="n">
        <f aca="false">Energia!$E$28</f>
        <v>38.6084</v>
      </c>
      <c r="F29" s="2"/>
      <c r="G29" s="2"/>
      <c r="H29" s="2"/>
      <c r="I29" s="2"/>
      <c r="J29" s="2"/>
      <c r="K29" s="2"/>
      <c r="L29" s="2"/>
    </row>
    <row r="30" customFormat="false" ht="15" hidden="false" customHeight="false" outlineLevel="0" collapsed="false">
      <c r="A30" s="6" t="s">
        <v>40</v>
      </c>
      <c r="B30" s="7" t="s">
        <v>35</v>
      </c>
      <c r="C30" s="19" t="n">
        <f aca="false">Energia!$C$29+Energia!$C$30</f>
        <v>5.210324</v>
      </c>
      <c r="D30" s="19" t="n">
        <f aca="false">Energia!$D$29+Energia!$D$30</f>
        <v>5.591297</v>
      </c>
      <c r="E30" s="19" t="n">
        <f aca="false">Energia!$E$29+Energia!$E$30</f>
        <v>6.11827</v>
      </c>
      <c r="F30" s="2"/>
      <c r="G30" s="2"/>
      <c r="H30" s="2"/>
      <c r="I30" s="2"/>
      <c r="J30" s="2"/>
      <c r="K30" s="2"/>
      <c r="L30" s="2"/>
    </row>
    <row r="31" customFormat="false" ht="15" hidden="false" customHeight="false" outlineLevel="0" collapsed="false">
      <c r="A31" s="14" t="s">
        <v>41</v>
      </c>
      <c r="B31" s="7" t="s">
        <v>23</v>
      </c>
      <c r="C31" s="22" t="n">
        <f aca="false">Energia!$C$34</f>
        <v>0.210518117859506</v>
      </c>
      <c r="D31" s="22" t="n">
        <f aca="false">Energia!$D$34</f>
        <v>0.271823180580276</v>
      </c>
      <c r="E31" s="22" t="n">
        <f aca="false">Energia!$E$34</f>
        <v>0.352347354286353</v>
      </c>
      <c r="F31" s="2"/>
      <c r="G31" s="2"/>
      <c r="H31" s="2"/>
      <c r="I31" s="2"/>
      <c r="J31" s="2"/>
      <c r="K31" s="2"/>
      <c r="L31" s="2"/>
    </row>
    <row r="32" customFormat="false" ht="15" hidden="false" customHeight="false" outlineLevel="0" collapsed="false">
      <c r="A32" s="6" t="s">
        <v>42</v>
      </c>
      <c r="B32" s="7" t="s">
        <v>23</v>
      </c>
      <c r="C32" s="13" t="n">
        <f aca="false">Energia!$C$35</f>
        <v>1.27476731441065</v>
      </c>
      <c r="D32" s="13" t="n">
        <f aca="false">Energia!$D$35</f>
        <v>1.47185983346454</v>
      </c>
      <c r="E32" s="13" t="n">
        <f aca="false">Energia!$E$35</f>
        <v>1.71582417404399</v>
      </c>
      <c r="F32" s="2"/>
      <c r="G32" s="2"/>
      <c r="H32" s="2"/>
      <c r="I32" s="2"/>
      <c r="J32" s="2"/>
      <c r="K32" s="2"/>
      <c r="L32" s="2"/>
    </row>
    <row r="33" customFormat="false" ht="15" hidden="false" customHeight="false" outlineLevel="0" collapsed="false">
      <c r="A33" s="14" t="s">
        <v>43</v>
      </c>
      <c r="B33" s="7" t="s">
        <v>35</v>
      </c>
      <c r="C33" s="20" t="n">
        <f aca="false">Energia!$C$36</f>
        <v>52.092907245246</v>
      </c>
      <c r="D33" s="20" t="n">
        <f aca="false">Energia!$D$36</f>
        <v>42.6602076541013</v>
      </c>
      <c r="E33" s="20" t="n">
        <f aca="false">Energia!$E$36</f>
        <v>34.6155248827299</v>
      </c>
      <c r="F33" s="2"/>
      <c r="G33" s="2"/>
      <c r="H33" s="2"/>
      <c r="I33" s="2"/>
      <c r="J33" s="2"/>
      <c r="K33" s="2"/>
      <c r="L33" s="2"/>
    </row>
    <row r="34" customFormat="false" ht="15" hidden="false" customHeight="false" outlineLevel="0" collapsed="false">
      <c r="A34" s="9" t="s">
        <v>44</v>
      </c>
      <c r="B34" s="10" t="s">
        <v>16</v>
      </c>
      <c r="C34" s="11" t="n">
        <f aca="false">Energia!$C$37</f>
        <v>161.488012460263</v>
      </c>
      <c r="D34" s="11" t="n">
        <f aca="false">Energia!$D$37</f>
        <v>119.448581431484</v>
      </c>
      <c r="E34" s="11" t="n">
        <f aca="false">Energia!$E$37</f>
        <v>86.5388122068248</v>
      </c>
      <c r="F34" s="2"/>
      <c r="G34" s="2"/>
      <c r="H34" s="2"/>
      <c r="I34" s="2"/>
      <c r="J34" s="2"/>
      <c r="K34" s="2"/>
      <c r="L34" s="2"/>
    </row>
    <row r="35" customFormat="false" ht="15" hidden="false" customHeight="false" outlineLevel="0" collapsed="false">
      <c r="A35" s="6" t="s">
        <v>45</v>
      </c>
      <c r="B35" s="7" t="s">
        <v>16</v>
      </c>
      <c r="C35" s="8" t="n">
        <f aca="false">Energia!$C$44</f>
        <v>56.4635123602626</v>
      </c>
      <c r="D35" s="8" t="n">
        <f aca="false">Energia!$D$44</f>
        <v>38.6412002314836</v>
      </c>
      <c r="E35" s="8" t="n">
        <f aca="false">Energia!$E$44</f>
        <v>23.8001622068248</v>
      </c>
      <c r="F35" s="2"/>
      <c r="G35" s="2"/>
      <c r="H35" s="2"/>
      <c r="I35" s="2"/>
      <c r="J35" s="2"/>
      <c r="K35" s="2"/>
      <c r="L35" s="2"/>
    </row>
    <row r="36" customFormat="false" ht="15" hidden="false" customHeight="false" outlineLevel="0" collapsed="false">
      <c r="A36" s="6" t="s">
        <v>46</v>
      </c>
      <c r="B36" s="7" t="s">
        <v>16</v>
      </c>
      <c r="C36" s="8" t="n">
        <f aca="false">Energia!$C$45</f>
        <v>105.0245001</v>
      </c>
      <c r="D36" s="8" t="n">
        <f aca="false">Energia!$D$45</f>
        <v>80.8073812</v>
      </c>
      <c r="E36" s="8" t="n">
        <f aca="false">Energia!$E$45</f>
        <v>62.73865</v>
      </c>
      <c r="F36" s="2"/>
      <c r="G36" s="2"/>
      <c r="H36" s="2"/>
      <c r="I36" s="2"/>
      <c r="J36" s="2"/>
      <c r="K36" s="2"/>
      <c r="L36" s="2"/>
    </row>
    <row r="37" customFormat="false" ht="15" hidden="false" customHeight="false" outlineLevel="0" collapsed="false">
      <c r="A37" s="6" t="s">
        <v>47</v>
      </c>
      <c r="B37" s="7" t="s">
        <v>16</v>
      </c>
      <c r="C37" s="8" t="n">
        <f aca="false">Energia!$C$48</f>
        <v>43.0613459397375</v>
      </c>
      <c r="D37" s="8" t="n">
        <f aca="false">Energia!$D$48</f>
        <v>44.5892981685164</v>
      </c>
      <c r="E37" s="8" t="n">
        <f aca="false">Energia!$E$48</f>
        <v>47.0803627931752</v>
      </c>
      <c r="F37" s="2"/>
      <c r="G37" s="2"/>
      <c r="H37" s="2"/>
      <c r="I37" s="2"/>
      <c r="J37" s="2"/>
      <c r="K37" s="2"/>
      <c r="L37" s="2"/>
    </row>
    <row r="38" customFormat="false" ht="15" hidden="false" customHeight="false" outlineLevel="0" collapsed="false">
      <c r="A38" s="6" t="s">
        <v>48</v>
      </c>
      <c r="B38" s="7" t="s">
        <v>8</v>
      </c>
      <c r="C38" s="8" t="n">
        <f aca="false">Energia!$C$56</f>
        <v>819.804512142608</v>
      </c>
      <c r="D38" s="8" t="n">
        <f aca="false">Energia!$D$56</f>
        <v>823.847851787297</v>
      </c>
      <c r="E38" s="8" t="n">
        <f aca="false">Energia!$E$56</f>
        <v>827.891191431986</v>
      </c>
      <c r="F38" s="2"/>
      <c r="G38" s="2"/>
      <c r="H38" s="2"/>
      <c r="I38" s="2"/>
      <c r="J38" s="2"/>
      <c r="K38" s="2"/>
      <c r="L38" s="2"/>
    </row>
    <row r="39" customFormat="false" ht="15" hidden="false" customHeight="false" outlineLevel="0" collapsed="false">
      <c r="A39" s="6" t="s">
        <v>49</v>
      </c>
      <c r="B39" s="7" t="s">
        <v>25</v>
      </c>
      <c r="C39" s="23" t="n">
        <f aca="false">Energia!$C$61</f>
        <v>19.4889257362237</v>
      </c>
      <c r="D39" s="23" t="n">
        <f aca="false">Energia!$D$61</f>
        <v>17.875152162837</v>
      </c>
      <c r="E39" s="23" t="n">
        <f aca="false">Energia!$E$61</f>
        <v>15.9562431943828</v>
      </c>
      <c r="F39" s="2"/>
      <c r="G39" s="2"/>
      <c r="H39" s="2"/>
      <c r="I39" s="2"/>
      <c r="J39" s="2"/>
      <c r="K39" s="2"/>
      <c r="L39" s="2"/>
    </row>
    <row r="40" customFormat="false" ht="15" hidden="false" customHeight="false" outlineLevel="0" collapsed="false">
      <c r="A40" s="6" t="s">
        <v>50</v>
      </c>
      <c r="B40" s="7" t="s">
        <v>25</v>
      </c>
      <c r="C40" s="23" t="n">
        <f aca="false">Energia!$C$57</f>
        <v>14.001779686431</v>
      </c>
      <c r="D40" s="23" t="n">
        <f aca="false">Energia!$D$57</f>
        <v>12.906555591423</v>
      </c>
      <c r="E40" s="23" t="n">
        <f aca="false">Energia!$E$57</f>
        <v>11.5729449524088</v>
      </c>
      <c r="F40" s="2"/>
      <c r="G40" s="2"/>
      <c r="H40" s="2"/>
      <c r="I40" s="2"/>
      <c r="J40" s="2"/>
      <c r="K40" s="2"/>
      <c r="L40" s="2"/>
    </row>
    <row r="41" customFormat="false" ht="15" hidden="false" customHeight="false" outlineLevel="0" collapsed="false">
      <c r="A41" s="6" t="s">
        <v>51</v>
      </c>
      <c r="B41" s="7" t="s">
        <v>25</v>
      </c>
      <c r="C41" s="23" t="n">
        <f aca="false">Energia!$C$59</f>
        <v>69.7085475195059</v>
      </c>
      <c r="D41" s="23" t="n">
        <f aca="false">Energia!$D$59</f>
        <v>61.7193085465913</v>
      </c>
      <c r="E41" s="23" t="n">
        <f aca="false">Energia!$E$59</f>
        <v>53.4295032594417</v>
      </c>
      <c r="F41" s="2"/>
      <c r="G41" s="2"/>
      <c r="H41" s="2"/>
      <c r="I41" s="2"/>
      <c r="J41" s="2"/>
      <c r="K41" s="2"/>
      <c r="L41" s="2"/>
    </row>
    <row r="42" customFormat="false" ht="15" hidden="false" customHeight="false" outlineLevel="0" collapsed="false">
      <c r="A42" s="6" t="s">
        <v>52</v>
      </c>
      <c r="B42" s="7" t="s">
        <v>53</v>
      </c>
      <c r="C42" s="8" t="n">
        <f aca="false">Energia!$C$51</f>
        <v>6084.15145858226</v>
      </c>
      <c r="D42" s="8" t="n">
        <f aca="false">Energia!$D$51</f>
        <v>6975.04021350363</v>
      </c>
      <c r="E42" s="8" t="n">
        <f aca="false">Energia!$E$51</f>
        <v>8248.4795613643</v>
      </c>
      <c r="F42" s="2"/>
      <c r="G42" s="2"/>
      <c r="H42" s="2"/>
      <c r="I42" s="2"/>
      <c r="J42" s="2"/>
      <c r="K42" s="2"/>
      <c r="L42" s="2"/>
    </row>
    <row r="43" customFormat="false" ht="15" hidden="false" customHeight="false" outlineLevel="0" collapsed="false">
      <c r="A43" s="6" t="s">
        <v>54</v>
      </c>
      <c r="B43" s="7" t="s">
        <v>23</v>
      </c>
      <c r="C43" s="13" t="n">
        <f aca="false">Agua!$C$16</f>
        <v>0.410773600093774</v>
      </c>
      <c r="D43" s="13" t="n">
        <f aca="false">Agua!$D$16</f>
        <v>0.530464895274908</v>
      </c>
      <c r="E43" s="13" t="n">
        <f aca="false">Agua!$E$16</f>
        <v>0.654876557485716</v>
      </c>
      <c r="F43" s="2"/>
      <c r="G43" s="2"/>
      <c r="H43" s="2"/>
      <c r="I43" s="2"/>
      <c r="J43" s="2"/>
      <c r="K43" s="2"/>
      <c r="L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customFormat="false" ht="15" hidden="false" customHeight="false" outlineLevel="0" collapsed="false">
      <c r="A45" s="4" t="s">
        <v>55</v>
      </c>
      <c r="B45" s="4" t="s">
        <v>3</v>
      </c>
      <c r="C45" s="5" t="s">
        <v>4</v>
      </c>
      <c r="D45" s="5" t="s">
        <v>5</v>
      </c>
      <c r="E45" s="5" t="s">
        <v>6</v>
      </c>
      <c r="F45" s="2"/>
      <c r="G45" s="2"/>
      <c r="H45" s="2"/>
      <c r="I45" s="2"/>
      <c r="J45" s="2"/>
      <c r="K45" s="2"/>
      <c r="L45" s="2"/>
    </row>
    <row r="46" customFormat="false" ht="15" hidden="false" customHeight="false" outlineLevel="0" collapsed="false">
      <c r="A46" s="6" t="s">
        <v>56</v>
      </c>
      <c r="B46" s="7" t="s">
        <v>8</v>
      </c>
      <c r="C46" s="12" t="n">
        <f aca="false">Supuestos!$C$8-Supuestos!$C$12*Supuestos!$C$23</f>
        <v>34929</v>
      </c>
      <c r="D46" s="12" t="n">
        <f aca="false">Supuestos!$D$8-Supuestos!$D$12*Supuestos!$D$23</f>
        <v>34929</v>
      </c>
      <c r="E46" s="12" t="n">
        <f aca="false">Supuestos!$E$8-Supuestos!$E$12*Supuestos!$E$23</f>
        <v>34929</v>
      </c>
      <c r="F46" s="2"/>
      <c r="G46" s="2"/>
      <c r="H46" s="2"/>
      <c r="I46" s="2"/>
      <c r="J46" s="2"/>
      <c r="K46" s="2"/>
      <c r="L46" s="2"/>
    </row>
    <row r="47" customFormat="false" ht="15" hidden="false" customHeight="false" outlineLevel="0" collapsed="false">
      <c r="A47" s="14" t="s">
        <v>57</v>
      </c>
      <c r="B47" s="7" t="s">
        <v>25</v>
      </c>
      <c r="C47" s="15" t="n">
        <f aca="false">(Supuestos!$C$8-Supuestos!$C$12*Supuestos!$C$23)/Costos_Operacion!$C$46</f>
        <v>56.6296978315536</v>
      </c>
      <c r="D47" s="15" t="n">
        <f aca="false">(Supuestos!$D$8-Supuestos!$D$12*Supuestos!$D$23)/Costos_Operacion!$D$46</f>
        <v>12.7091219791779</v>
      </c>
      <c r="E47" s="15" t="n">
        <f aca="false">(Supuestos!$E$8-Supuestos!$E$12*Supuestos!$E$23)/Costos_Operacion!$E$46</f>
        <v>5.94883401028341</v>
      </c>
      <c r="F47" s="2"/>
      <c r="G47" s="2"/>
      <c r="H47" s="2"/>
      <c r="I47" s="2"/>
      <c r="J47" s="2"/>
      <c r="K47" s="2"/>
      <c r="L47" s="2"/>
    </row>
    <row r="48" customFormat="false" ht="15" hidden="false" customHeight="false" outlineLevel="0" collapsed="false">
      <c r="A48" s="6" t="s">
        <v>29</v>
      </c>
      <c r="B48" s="7" t="s">
        <v>58</v>
      </c>
      <c r="C48" s="17"/>
      <c r="D48" s="17" t="n">
        <f aca="false">Flujo_30_anios!$B$90</f>
        <v>0.0447128360358754</v>
      </c>
      <c r="E48" s="17"/>
      <c r="F48" s="2"/>
      <c r="G48" s="2"/>
      <c r="H48" s="2"/>
      <c r="I48" s="2"/>
      <c r="J48" s="2"/>
      <c r="K48" s="2"/>
      <c r="L48" s="2"/>
    </row>
    <row r="49" customFormat="false" ht="15" hidden="false" customHeight="false" outlineLevel="0" collapsed="false">
      <c r="A49" s="6" t="s">
        <v>30</v>
      </c>
      <c r="B49" s="7" t="s">
        <v>58</v>
      </c>
      <c r="C49" s="12"/>
      <c r="D49" s="12" t="n">
        <f aca="false">Flujo_30_anios!$B$88</f>
        <v>-10672.7667052694</v>
      </c>
      <c r="E49" s="12"/>
      <c r="F49" s="2"/>
      <c r="G49" s="2"/>
      <c r="H49" s="2"/>
      <c r="I49" s="2"/>
      <c r="J49" s="2"/>
      <c r="K49" s="2"/>
      <c r="L49" s="2"/>
    </row>
    <row r="50" customFormat="false" ht="15" hidden="false" customHeight="false" outlineLevel="0" collapsed="false">
      <c r="A50" s="3" t="s">
        <v>59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customFormat="false" ht="15" hidden="false" customHeight="false" outlineLevel="0" collapsed="false">
      <c r="A52" s="4" t="s">
        <v>60</v>
      </c>
      <c r="B52" s="4" t="s">
        <v>3</v>
      </c>
      <c r="C52" s="5" t="s">
        <v>61</v>
      </c>
      <c r="D52" s="5" t="s">
        <v>62</v>
      </c>
      <c r="E52" s="5" t="s">
        <v>63</v>
      </c>
      <c r="F52" s="2"/>
      <c r="G52" s="2"/>
      <c r="H52" s="2"/>
      <c r="I52" s="2"/>
      <c r="J52" s="2"/>
      <c r="K52" s="2"/>
      <c r="L52" s="2"/>
    </row>
    <row r="53" customFormat="false" ht="15" hidden="false" customHeight="false" outlineLevel="0" collapsed="false">
      <c r="A53" s="6" t="s">
        <v>64</v>
      </c>
      <c r="B53" s="7" t="s">
        <v>65</v>
      </c>
      <c r="C53" s="24" t="n">
        <f aca="false">(Costos_Operacion!$D$46+(6-Supuestos!$D$36)*Ingresos!$D$79)</f>
        <v>2478.71952057864</v>
      </c>
      <c r="D53" s="25" t="n">
        <f aca="false">Supuestos!$D$8/(Costos_Operacion!$D$46+(6-Supuestos!$D$36)*Ingresos!$D$79)</f>
        <v>21.4808491069495</v>
      </c>
      <c r="E53" s="25" t="n">
        <f aca="false">(Supuestos!$D$8-Supuestos!$D$12)/(Costos_Operacion!$D$46+(6-Supuestos!$D$36)*Ingresos!$D$79)</f>
        <v>14.0915499757093</v>
      </c>
      <c r="F53" s="2"/>
      <c r="G53" s="2"/>
      <c r="H53" s="2"/>
      <c r="I53" s="2"/>
      <c r="J53" s="2"/>
      <c r="K53" s="2"/>
      <c r="L53" s="2"/>
    </row>
    <row r="54" customFormat="false" ht="15" hidden="false" customHeight="false" outlineLevel="0" collapsed="false">
      <c r="A54" s="14" t="s">
        <v>66</v>
      </c>
      <c r="B54" s="7" t="s">
        <v>65</v>
      </c>
      <c r="C54" s="26" t="n">
        <f aca="false">(Costos_Operacion!$D$46+(12-Supuestos!$D$36)*Ingresos!$D$79)</f>
        <v>2748.34092057864</v>
      </c>
      <c r="D54" s="27" t="n">
        <f aca="false">Supuestos!$D$8/(Costos_Operacion!$D$46+(12-Supuestos!$D$36)*Ingresos!$D$79)</f>
        <v>19.3735062492865</v>
      </c>
      <c r="E54" s="27" t="n">
        <f aca="false">(Supuestos!$D$8-Supuestos!$D$12)/(Costos_Operacion!$D$46+(12-Supuestos!$D$36)*Ingresos!$D$79)</f>
        <v>12.7091219791779</v>
      </c>
      <c r="F54" s="2"/>
      <c r="G54" s="2"/>
      <c r="H54" s="2"/>
      <c r="I54" s="2"/>
      <c r="J54" s="2"/>
      <c r="K54" s="2"/>
      <c r="L54" s="2"/>
    </row>
    <row r="55" customFormat="false" ht="15" hidden="false" customHeight="false" outlineLevel="0" collapsed="false">
      <c r="A55" s="6" t="s">
        <v>67</v>
      </c>
      <c r="B55" s="7" t="s">
        <v>65</v>
      </c>
      <c r="C55" s="24" t="n">
        <f aca="false">(Costos_Operacion!$D$46+(18-Supuestos!$D$36)*Ingresos!$D$79)</f>
        <v>3017.96232057864</v>
      </c>
      <c r="D55" s="25" t="n">
        <f aca="false">Supuestos!$D$8/(Costos_Operacion!$D$46+(18-Supuestos!$D$36)*Ingresos!$D$79)</f>
        <v>17.6426987298474</v>
      </c>
      <c r="E55" s="25" t="n">
        <f aca="false">(Supuestos!$D$8-Supuestos!$D$12)/(Costos_Operacion!$D$46+(18-Supuestos!$D$36)*Ingresos!$D$79)</f>
        <v>11.5737031446115</v>
      </c>
      <c r="F55" s="2"/>
      <c r="G55" s="2"/>
      <c r="H55" s="2"/>
      <c r="I55" s="2"/>
      <c r="J55" s="2"/>
      <c r="K55" s="2"/>
      <c r="L55" s="2"/>
    </row>
    <row r="56" customFormat="false" ht="15" hidden="false" customHeight="false" outlineLevel="0" collapsed="false">
      <c r="A56" s="6" t="s">
        <v>68</v>
      </c>
      <c r="B56" s="7" t="s">
        <v>65</v>
      </c>
      <c r="C56" s="24" t="n">
        <f aca="false">(Costos_Operacion!$D$46+(24-Supuestos!$D$36)*Ingresos!$D$79)</f>
        <v>3287.58372057864</v>
      </c>
      <c r="D56" s="25" t="n">
        <f aca="false">Supuestos!$D$8/(Costos_Operacion!$D$46+(24-Supuestos!$D$36)*Ingresos!$D$79)</f>
        <v>16.1957852713264</v>
      </c>
      <c r="E56" s="25" t="n">
        <f aca="false">(Supuestos!$D$8-Supuestos!$D$12)/(Costos_Operacion!$D$46+(24-Supuestos!$D$36)*Ingresos!$D$79)</f>
        <v>10.6245203069238</v>
      </c>
      <c r="F56" s="2"/>
      <c r="G56" s="2"/>
      <c r="H56" s="2"/>
      <c r="I56" s="2"/>
      <c r="J56" s="2"/>
      <c r="K56" s="2"/>
      <c r="L56" s="2"/>
    </row>
    <row r="57" customFormat="false" ht="15" hidden="false" customHeight="false" outlineLevel="0" collapsed="false">
      <c r="A57" s="6" t="s">
        <v>69</v>
      </c>
      <c r="B57" s="7" t="s">
        <v>65</v>
      </c>
      <c r="C57" s="24" t="n">
        <f aca="false">(Costos_Operacion!$D$46+(36-Supuestos!$D$36)*Ingresos!$D$79)</f>
        <v>3826.82652057864</v>
      </c>
      <c r="D57" s="25" t="n">
        <f aca="false">Supuestos!$D$8/(Costos_Operacion!$D$46+(36-Supuestos!$D$36)*Ingresos!$D$79)</f>
        <v>13.9136173834055</v>
      </c>
      <c r="E57" s="25" t="n">
        <f aca="false">(Supuestos!$D$8-Supuestos!$D$12)/(Costos_Operacion!$D$46+(36-Supuestos!$D$36)*Ingresos!$D$79)</f>
        <v>9.12740617118921</v>
      </c>
      <c r="F57" s="2"/>
      <c r="G57" s="2"/>
      <c r="H57" s="2"/>
      <c r="I57" s="2"/>
      <c r="J57" s="2"/>
      <c r="K57" s="2"/>
      <c r="L57" s="2"/>
    </row>
    <row r="58" customFormat="false" ht="15" hidden="false" customHeight="false" outlineLevel="0" collapsed="false">
      <c r="A58" s="3" t="str">
        <f aca="false">"Cada concierto extra deja ≈ "&amp;TEXT(Ingresos!$D$79,"#,##0")&amp;" M MXN netos al dueño. Más de 18 al año exige pasto híbrido y cubrecancha (ya incluidos)."</f>
        <v>Cada concierto extra deja ≈ 45 M MXN netos al dueño. Más de 18 al año exige pasto híbrido y cubrecancha (ya incluidos).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customFormat="false" ht="15" hidden="false" customHeight="false" outlineLevel="0" collapsed="false">
      <c r="A60" s="4" t="s">
        <v>70</v>
      </c>
      <c r="B60" s="4" t="s">
        <v>3</v>
      </c>
      <c r="C60" s="5" t="s">
        <v>16</v>
      </c>
      <c r="D60" s="5" t="s">
        <v>71</v>
      </c>
      <c r="E60" s="5"/>
      <c r="F60" s="2"/>
      <c r="G60" s="2"/>
      <c r="H60" s="2"/>
      <c r="I60" s="2"/>
      <c r="J60" s="2"/>
      <c r="K60" s="2"/>
      <c r="L60" s="2"/>
    </row>
    <row r="61" customFormat="false" ht="15" hidden="false" customHeight="false" outlineLevel="0" collapsed="false">
      <c r="A61" s="6" t="s">
        <v>72</v>
      </c>
      <c r="B61" s="28" t="s">
        <v>73</v>
      </c>
      <c r="C61" s="29" t="n">
        <f aca="false">Ingresos!$D$41</f>
        <v>609.819678</v>
      </c>
      <c r="D61" s="30" t="n">
        <f aca="false">C61/Ingresos!$D$68</f>
        <v>0.136533799063223</v>
      </c>
      <c r="E61" s="2"/>
      <c r="F61" s="2"/>
      <c r="G61" s="2"/>
      <c r="H61" s="2"/>
      <c r="I61" s="2"/>
      <c r="J61" s="2"/>
      <c r="K61" s="2"/>
      <c r="L61" s="2"/>
    </row>
    <row r="62" customFormat="false" ht="15" hidden="false" customHeight="false" outlineLevel="0" collapsed="false">
      <c r="A62" s="6" t="s">
        <v>74</v>
      </c>
      <c r="B62" s="28" t="s">
        <v>75</v>
      </c>
      <c r="C62" s="29" t="n">
        <f aca="false">Ingresos!$D$24</f>
        <v>405</v>
      </c>
      <c r="D62" s="30" t="n">
        <f aca="false">C62/Ingresos!$D$68</f>
        <v>0.0906762943464825</v>
      </c>
      <c r="E62" s="2"/>
      <c r="F62" s="2"/>
      <c r="G62" s="2"/>
      <c r="H62" s="2"/>
      <c r="I62" s="2"/>
      <c r="J62" s="2"/>
      <c r="K62" s="2"/>
      <c r="L62" s="2"/>
    </row>
    <row r="63" customFormat="false" ht="15" hidden="false" customHeight="false" outlineLevel="0" collapsed="false">
      <c r="A63" s="6" t="s">
        <v>76</v>
      </c>
      <c r="B63" s="28" t="s">
        <v>77</v>
      </c>
      <c r="C63" s="29" t="n">
        <f aca="false">Ingresos!$D$18</f>
        <v>387.616</v>
      </c>
      <c r="D63" s="30" t="n">
        <f aca="false">C63/Ingresos!$D$68</f>
        <v>0.0867841543442127</v>
      </c>
      <c r="E63" s="2"/>
      <c r="F63" s="2"/>
      <c r="G63" s="2"/>
      <c r="H63" s="2"/>
      <c r="I63" s="2"/>
      <c r="J63" s="2"/>
      <c r="K63" s="2"/>
      <c r="L63" s="2"/>
    </row>
    <row r="64" customFormat="false" ht="15" hidden="false" customHeight="false" outlineLevel="0" collapsed="false">
      <c r="A64" s="6" t="s">
        <v>78</v>
      </c>
      <c r="B64" s="28" t="s">
        <v>73</v>
      </c>
      <c r="C64" s="29" t="n">
        <f aca="false">Ingresos!$D$42</f>
        <v>298.1340648</v>
      </c>
      <c r="D64" s="30" t="n">
        <f aca="false">C64/Ingresos!$D$68</f>
        <v>0.0667498573197978</v>
      </c>
      <c r="E64" s="2"/>
      <c r="F64" s="2"/>
      <c r="G64" s="2"/>
      <c r="H64" s="2"/>
      <c r="I64" s="2"/>
      <c r="J64" s="2"/>
      <c r="K64" s="2"/>
      <c r="L64" s="2"/>
    </row>
    <row r="65" customFormat="false" ht="15" hidden="false" customHeight="false" outlineLevel="0" collapsed="false">
      <c r="A65" s="6" t="s">
        <v>79</v>
      </c>
      <c r="B65" s="28" t="s">
        <v>73</v>
      </c>
      <c r="C65" s="29" t="n">
        <f aca="false">Ingresos!$D$46</f>
        <v>243.9278712</v>
      </c>
      <c r="D65" s="30" t="n">
        <f aca="false">C65/Ingresos!$D$68</f>
        <v>0.0546135196252891</v>
      </c>
      <c r="E65" s="2"/>
      <c r="F65" s="2"/>
      <c r="G65" s="2"/>
      <c r="H65" s="2"/>
      <c r="I65" s="2"/>
      <c r="J65" s="2"/>
      <c r="K65" s="2"/>
      <c r="L65" s="2"/>
    </row>
    <row r="66" customFormat="false" ht="15" hidden="false" customHeight="false" outlineLevel="0" collapsed="false">
      <c r="A66" s="6" t="s">
        <v>80</v>
      </c>
      <c r="B66" s="28" t="s">
        <v>81</v>
      </c>
      <c r="C66" s="29" t="n">
        <f aca="false">Ingresos!$D$9</f>
        <v>242.88</v>
      </c>
      <c r="D66" s="30" t="n">
        <f aca="false">C66/Ingresos!$D$68</f>
        <v>0.0543789095577128</v>
      </c>
      <c r="E66" s="2"/>
      <c r="F66" s="2"/>
      <c r="G66" s="2"/>
      <c r="H66" s="2"/>
      <c r="I66" s="2"/>
      <c r="J66" s="2"/>
      <c r="K66" s="2"/>
      <c r="L66" s="2"/>
    </row>
    <row r="67" customFormat="false" ht="15" hidden="false" customHeight="false" outlineLevel="0" collapsed="false">
      <c r="A67" s="6" t="s">
        <v>82</v>
      </c>
      <c r="B67" s="28" t="s">
        <v>73</v>
      </c>
      <c r="C67" s="29" t="n">
        <f aca="false">Ingresos!$D$52</f>
        <v>230.3763228</v>
      </c>
      <c r="D67" s="30" t="n">
        <f aca="false">C67/Ingresos!$D$68</f>
        <v>0.0515794352016619</v>
      </c>
      <c r="E67" s="2"/>
      <c r="F67" s="2"/>
      <c r="G67" s="2"/>
      <c r="H67" s="2"/>
      <c r="I67" s="2"/>
      <c r="J67" s="2"/>
      <c r="K67" s="2"/>
      <c r="L67" s="2"/>
    </row>
    <row r="68" customFormat="false" ht="15" hidden="false" customHeight="false" outlineLevel="0" collapsed="false">
      <c r="A68" s="6" t="s">
        <v>83</v>
      </c>
      <c r="B68" s="28" t="s">
        <v>75</v>
      </c>
      <c r="C68" s="29" t="n">
        <f aca="false">Ingresos!$D$25</f>
        <v>204</v>
      </c>
      <c r="D68" s="30" t="n">
        <f aca="false">C68/Ingresos!$D$68</f>
        <v>0.0456739853004504</v>
      </c>
      <c r="E68" s="2"/>
      <c r="F68" s="2"/>
      <c r="G68" s="2"/>
      <c r="H68" s="2"/>
      <c r="I68" s="2"/>
      <c r="J68" s="2"/>
      <c r="K68" s="2"/>
      <c r="L68" s="2"/>
    </row>
    <row r="69" customFormat="false" ht="15" hidden="false" customHeight="false" outlineLevel="0" collapsed="false">
      <c r="A69" s="6" t="s">
        <v>84</v>
      </c>
      <c r="B69" s="28" t="s">
        <v>75</v>
      </c>
      <c r="C69" s="29" t="n">
        <f aca="false">Ingresos!$D$27</f>
        <v>150</v>
      </c>
      <c r="D69" s="30" t="n">
        <f aca="false">C69/Ingresos!$D$68</f>
        <v>0.0335838127209194</v>
      </c>
      <c r="E69" s="2"/>
      <c r="F69" s="2"/>
      <c r="G69" s="2"/>
      <c r="H69" s="2"/>
      <c r="I69" s="2"/>
      <c r="J69" s="2"/>
      <c r="K69" s="2"/>
      <c r="L69" s="2"/>
    </row>
    <row r="70" customFormat="false" ht="15" hidden="false" customHeight="false" outlineLevel="0" collapsed="false">
      <c r="A70" s="6" t="s">
        <v>85</v>
      </c>
      <c r="B70" s="28" t="s">
        <v>81</v>
      </c>
      <c r="C70" s="29" t="n">
        <f aca="false">Ingresos!$D$15</f>
        <v>136.908</v>
      </c>
      <c r="D70" s="30" t="n">
        <f aca="false">C70/Ingresos!$D$68</f>
        <v>0.0306526175466376</v>
      </c>
      <c r="E70" s="2"/>
      <c r="F70" s="2"/>
      <c r="G70" s="2"/>
      <c r="H70" s="2"/>
      <c r="I70" s="2"/>
      <c r="J70" s="2"/>
      <c r="K70" s="2"/>
      <c r="L70" s="2"/>
    </row>
    <row r="71" customFormat="false" ht="15" hidden="false" customHeight="false" outlineLevel="0" collapsed="false">
      <c r="A71" s="6" t="s">
        <v>86</v>
      </c>
      <c r="B71" s="28" t="s">
        <v>73</v>
      </c>
      <c r="C71" s="29" t="n">
        <f aca="false">Ingresos!$D$51</f>
        <v>125.727552</v>
      </c>
      <c r="D71" s="30" t="n">
        <f aca="false">C71/Ingresos!$D$68</f>
        <v>0.0281494037348511</v>
      </c>
      <c r="E71" s="2"/>
      <c r="F71" s="2"/>
      <c r="G71" s="2"/>
      <c r="H71" s="2"/>
      <c r="I71" s="2"/>
      <c r="J71" s="2"/>
      <c r="K71" s="2"/>
      <c r="L71" s="2"/>
    </row>
    <row r="72" customFormat="false" ht="15" hidden="false" customHeight="false" outlineLevel="0" collapsed="false">
      <c r="A72" s="6" t="s">
        <v>87</v>
      </c>
      <c r="B72" s="28" t="s">
        <v>75</v>
      </c>
      <c r="C72" s="29" t="n">
        <f aca="false">Ingresos!$D$26</f>
        <v>111</v>
      </c>
      <c r="D72" s="30" t="n">
        <f aca="false">C72/Ingresos!$D$68</f>
        <v>0.0248520214134804</v>
      </c>
      <c r="E72" s="2"/>
      <c r="F72" s="2"/>
      <c r="G72" s="2"/>
      <c r="H72" s="2"/>
      <c r="I72" s="2"/>
      <c r="J72" s="2"/>
      <c r="K72" s="2"/>
      <c r="L72" s="2"/>
    </row>
    <row r="73" customFormat="false" ht="15" hidden="false" customHeight="false" outlineLevel="0" collapsed="false">
      <c r="A73" s="6" t="s">
        <v>88</v>
      </c>
      <c r="B73" s="28" t="s">
        <v>81</v>
      </c>
      <c r="C73" s="29" t="n">
        <f aca="false">Ingresos!$D$7</f>
        <v>100.224</v>
      </c>
      <c r="D73" s="30" t="n">
        <f aca="false">C73/Ingresos!$D$68</f>
        <v>0.0224393603076095</v>
      </c>
      <c r="E73" s="2"/>
      <c r="F73" s="2"/>
      <c r="G73" s="2"/>
      <c r="H73" s="2"/>
      <c r="I73" s="2"/>
      <c r="J73" s="2"/>
      <c r="K73" s="2"/>
      <c r="L73" s="2"/>
    </row>
    <row r="74" customFormat="false" ht="15" hidden="false" customHeight="false" outlineLevel="0" collapsed="false">
      <c r="A74" s="6" t="s">
        <v>89</v>
      </c>
      <c r="B74" s="28" t="s">
        <v>73</v>
      </c>
      <c r="C74" s="29" t="n">
        <f aca="false">Ingresos!$D$45</f>
        <v>94.8608388</v>
      </c>
      <c r="D74" s="30" t="n">
        <f aca="false">C74/Ingresos!$D$68</f>
        <v>0.0212385909653902</v>
      </c>
      <c r="E74" s="2"/>
      <c r="F74" s="2"/>
      <c r="G74" s="2"/>
      <c r="H74" s="2"/>
      <c r="I74" s="2"/>
      <c r="J74" s="2"/>
      <c r="K74" s="2"/>
      <c r="L74" s="2"/>
    </row>
    <row r="75" customFormat="false" ht="15" hidden="false" customHeight="false" outlineLevel="0" collapsed="false">
      <c r="A75" s="6" t="s">
        <v>90</v>
      </c>
      <c r="B75" s="28" t="s">
        <v>81</v>
      </c>
      <c r="C75" s="29" t="n">
        <f aca="false">Ingresos!$D$11</f>
        <v>90</v>
      </c>
      <c r="D75" s="30" t="n">
        <f aca="false">C75/Ingresos!$D$68</f>
        <v>0.0201502876325517</v>
      </c>
      <c r="E75" s="2"/>
      <c r="F75" s="2"/>
      <c r="G75" s="2"/>
      <c r="H75" s="2"/>
      <c r="I75" s="2"/>
      <c r="J75" s="2"/>
      <c r="K75" s="2"/>
      <c r="L75" s="2"/>
    </row>
    <row r="76" customFormat="false" ht="15" hidden="false" customHeight="false" outlineLevel="0" collapsed="false">
      <c r="A76" s="6" t="s">
        <v>91</v>
      </c>
      <c r="B76" s="28" t="s">
        <v>81</v>
      </c>
      <c r="C76" s="29" t="n">
        <f aca="false">Ingresos!$D$14</f>
        <v>88.1</v>
      </c>
      <c r="D76" s="30" t="n">
        <f aca="false">C76/Ingresos!$D$68</f>
        <v>0.01972489267142</v>
      </c>
      <c r="E76" s="2"/>
      <c r="F76" s="2"/>
      <c r="G76" s="2"/>
      <c r="H76" s="2"/>
      <c r="I76" s="2"/>
      <c r="J76" s="2"/>
      <c r="K76" s="2"/>
      <c r="L76" s="2"/>
    </row>
    <row r="77" customFormat="false" ht="15" hidden="false" customHeight="false" outlineLevel="0" collapsed="false">
      <c r="A77" s="6" t="s">
        <v>92</v>
      </c>
      <c r="B77" s="28" t="s">
        <v>77</v>
      </c>
      <c r="C77" s="29" t="n">
        <f aca="false">Ingresos!$D$20</f>
        <v>87</v>
      </c>
      <c r="D77" s="30" t="n">
        <f aca="false">C77/Ingresos!$D$68</f>
        <v>0.0194786113781333</v>
      </c>
      <c r="E77" s="2"/>
      <c r="F77" s="2"/>
      <c r="G77" s="2"/>
      <c r="H77" s="2"/>
      <c r="I77" s="2"/>
      <c r="J77" s="2"/>
      <c r="K77" s="2"/>
      <c r="L77" s="2"/>
    </row>
    <row r="78" customFormat="false" ht="15" hidden="false" customHeight="false" outlineLevel="0" collapsed="false">
      <c r="A78" s="6" t="s">
        <v>93</v>
      </c>
      <c r="B78" s="28" t="s">
        <v>73</v>
      </c>
      <c r="C78" s="29" t="n">
        <f aca="false">Ingresos!$D$44</f>
        <v>81.3092904</v>
      </c>
      <c r="D78" s="30" t="n">
        <f aca="false">C78/Ingresos!$D$68</f>
        <v>0.018204506541763</v>
      </c>
      <c r="E78" s="2"/>
      <c r="F78" s="2"/>
      <c r="G78" s="2"/>
      <c r="H78" s="2"/>
      <c r="I78" s="2"/>
      <c r="J78" s="2"/>
      <c r="K78" s="2"/>
      <c r="L78" s="2"/>
    </row>
    <row r="79" customFormat="false" ht="15" hidden="false" customHeight="false" outlineLevel="0" collapsed="false">
      <c r="A79" s="6" t="s">
        <v>94</v>
      </c>
      <c r="B79" s="28" t="s">
        <v>73</v>
      </c>
      <c r="C79" s="29" t="n">
        <f aca="false">Ingresos!$D$47</f>
        <v>72.636299424</v>
      </c>
      <c r="D79" s="30" t="n">
        <f aca="false">C79/Ingresos!$D$68</f>
        <v>0.0162626925106416</v>
      </c>
      <c r="E79" s="2"/>
      <c r="F79" s="2"/>
      <c r="G79" s="2"/>
      <c r="H79" s="2"/>
      <c r="I79" s="2"/>
      <c r="J79" s="2"/>
      <c r="K79" s="2"/>
      <c r="L79" s="2"/>
    </row>
    <row r="80" customFormat="false" ht="15" hidden="false" customHeight="false" outlineLevel="0" collapsed="false">
      <c r="A80" s="6" t="s">
        <v>95</v>
      </c>
      <c r="B80" s="28" t="s">
        <v>77</v>
      </c>
      <c r="C80" s="29" t="n">
        <f aca="false">Ingresos!$D$21</f>
        <v>69.152</v>
      </c>
      <c r="D80" s="30" t="n">
        <f aca="false">C80/Ingresos!$D$68</f>
        <v>0.0154825854485135</v>
      </c>
      <c r="E80" s="2"/>
      <c r="F80" s="2"/>
      <c r="G80" s="2"/>
      <c r="H80" s="2"/>
      <c r="I80" s="2"/>
      <c r="J80" s="2"/>
      <c r="K80" s="2"/>
      <c r="L80" s="2"/>
    </row>
    <row r="81" customFormat="false" ht="15" hidden="false" customHeight="false" outlineLevel="0" collapsed="false">
      <c r="A81" s="6" t="s">
        <v>96</v>
      </c>
      <c r="B81" s="28" t="s">
        <v>73</v>
      </c>
      <c r="C81" s="29" t="n">
        <f aca="false">Ingresos!$D$43</f>
        <v>67.757742</v>
      </c>
      <c r="D81" s="30" t="n">
        <f aca="false">C81/Ingresos!$D$68</f>
        <v>0.0151704221181359</v>
      </c>
      <c r="E81" s="2"/>
      <c r="F81" s="2"/>
      <c r="G81" s="2"/>
      <c r="H81" s="2"/>
      <c r="I81" s="2"/>
      <c r="J81" s="2"/>
      <c r="K81" s="2"/>
      <c r="L81" s="2"/>
    </row>
    <row r="82" customFormat="false" ht="15" hidden="false" customHeight="false" outlineLevel="0" collapsed="false">
      <c r="A82" s="6" t="s">
        <v>97</v>
      </c>
      <c r="B82" s="28" t="s">
        <v>81</v>
      </c>
      <c r="C82" s="29" t="n">
        <f aca="false">Ingresos!$D$10</f>
        <v>60</v>
      </c>
      <c r="D82" s="30" t="n">
        <f aca="false">C82/Ingresos!$D$68</f>
        <v>0.0134335250883678</v>
      </c>
      <c r="E82" s="2"/>
      <c r="F82" s="2"/>
      <c r="G82" s="2"/>
      <c r="H82" s="2"/>
      <c r="I82" s="2"/>
      <c r="J82" s="2"/>
      <c r="K82" s="2"/>
      <c r="L82" s="2"/>
    </row>
    <row r="83" customFormat="false" ht="15" hidden="false" customHeight="false" outlineLevel="0" collapsed="false">
      <c r="A83" s="6" t="s">
        <v>98</v>
      </c>
      <c r="B83" s="28" t="s">
        <v>75</v>
      </c>
      <c r="C83" s="29" t="n">
        <f aca="false">Ingresos!$D$29</f>
        <v>60</v>
      </c>
      <c r="D83" s="30" t="n">
        <f aca="false">C83/Ingresos!$D$68</f>
        <v>0.0134335250883678</v>
      </c>
      <c r="E83" s="2"/>
      <c r="F83" s="2"/>
      <c r="G83" s="2"/>
      <c r="H83" s="2"/>
      <c r="I83" s="2"/>
      <c r="J83" s="2"/>
      <c r="K83" s="2"/>
      <c r="L83" s="2"/>
    </row>
    <row r="84" customFormat="false" ht="15" hidden="false" customHeight="false" outlineLevel="0" collapsed="false">
      <c r="A84" s="6" t="s">
        <v>99</v>
      </c>
      <c r="B84" s="28" t="s">
        <v>73</v>
      </c>
      <c r="C84" s="29" t="n">
        <f aca="false">Ingresos!$D$49</f>
        <v>60</v>
      </c>
      <c r="D84" s="30" t="n">
        <f aca="false">C84/Ingresos!$D$68</f>
        <v>0.0134335250883678</v>
      </c>
      <c r="E84" s="2"/>
      <c r="F84" s="2"/>
      <c r="G84" s="2"/>
      <c r="H84" s="2"/>
      <c r="I84" s="2"/>
      <c r="J84" s="2"/>
      <c r="K84" s="2"/>
      <c r="L84" s="2"/>
    </row>
    <row r="85" customFormat="false" ht="15" hidden="false" customHeight="false" outlineLevel="0" collapsed="false">
      <c r="A85" s="6" t="s">
        <v>100</v>
      </c>
      <c r="B85" s="28" t="s">
        <v>101</v>
      </c>
      <c r="C85" s="29" t="n">
        <f aca="false">Ingresos!$D$34</f>
        <v>50</v>
      </c>
      <c r="D85" s="30" t="n">
        <f aca="false">C85/Ingresos!$D$68</f>
        <v>0.0111946042403065</v>
      </c>
      <c r="E85" s="2"/>
      <c r="F85" s="2"/>
      <c r="G85" s="2"/>
      <c r="H85" s="2"/>
      <c r="I85" s="2"/>
      <c r="J85" s="2"/>
      <c r="K85" s="2"/>
      <c r="L85" s="2"/>
    </row>
    <row r="86" customFormat="false" ht="15" hidden="false" customHeight="false" outlineLevel="0" collapsed="false">
      <c r="A86" s="6" t="s">
        <v>102</v>
      </c>
      <c r="B86" s="28" t="s">
        <v>73</v>
      </c>
      <c r="C86" s="29" t="n">
        <f aca="false">Ingresos!$D$50</f>
        <v>40</v>
      </c>
      <c r="D86" s="30" t="n">
        <f aca="false">C86/Ingresos!$D$68</f>
        <v>0.00895568339224518</v>
      </c>
      <c r="E86" s="2"/>
      <c r="F86" s="2"/>
      <c r="G86" s="2"/>
      <c r="H86" s="2"/>
      <c r="I86" s="2"/>
      <c r="J86" s="2"/>
      <c r="K86" s="2"/>
      <c r="L86" s="2"/>
    </row>
    <row r="87" customFormat="false" ht="15" hidden="false" customHeight="false" outlineLevel="0" collapsed="false">
      <c r="A87" s="6" t="s">
        <v>103</v>
      </c>
      <c r="B87" s="28" t="s">
        <v>101</v>
      </c>
      <c r="C87" s="29" t="n">
        <f aca="false">Ingresos!$D$32</f>
        <v>37.5</v>
      </c>
      <c r="D87" s="30" t="n">
        <f aca="false">C87/Ingresos!$D$68</f>
        <v>0.00839595318022986</v>
      </c>
      <c r="E87" s="2"/>
      <c r="F87" s="2"/>
      <c r="G87" s="2"/>
      <c r="H87" s="2"/>
      <c r="I87" s="2"/>
      <c r="J87" s="2"/>
      <c r="K87" s="2"/>
      <c r="L87" s="2"/>
    </row>
    <row r="88" customFormat="false" ht="15" hidden="false" customHeight="false" outlineLevel="0" collapsed="false">
      <c r="A88" s="6" t="s">
        <v>104</v>
      </c>
      <c r="B88" s="28" t="s">
        <v>75</v>
      </c>
      <c r="C88" s="29" t="n">
        <f aca="false">Ingresos!$D$28</f>
        <v>35</v>
      </c>
      <c r="D88" s="30" t="n">
        <f aca="false">C88/Ingresos!$D$68</f>
        <v>0.00783622296821454</v>
      </c>
      <c r="E88" s="2"/>
      <c r="F88" s="2"/>
      <c r="G88" s="2"/>
      <c r="H88" s="2"/>
      <c r="I88" s="2"/>
      <c r="J88" s="2"/>
      <c r="K88" s="2"/>
      <c r="L88" s="2"/>
    </row>
    <row r="89" customFormat="false" ht="15" hidden="false" customHeight="false" outlineLevel="0" collapsed="false">
      <c r="A89" s="6" t="s">
        <v>105</v>
      </c>
      <c r="B89" s="28" t="s">
        <v>101</v>
      </c>
      <c r="C89" s="29" t="n">
        <f aca="false">Ingresos!$D$33</f>
        <v>33</v>
      </c>
      <c r="D89" s="30" t="n">
        <f aca="false">C89/Ingresos!$D$68</f>
        <v>0.00738843879860228</v>
      </c>
      <c r="E89" s="2"/>
      <c r="F89" s="2"/>
      <c r="G89" s="2"/>
      <c r="H89" s="2"/>
      <c r="I89" s="2"/>
      <c r="J89" s="2"/>
      <c r="K89" s="2"/>
      <c r="L89" s="2"/>
    </row>
    <row r="90" customFormat="false" ht="15" hidden="false" customHeight="false" outlineLevel="0" collapsed="false">
      <c r="A90" s="6" t="s">
        <v>106</v>
      </c>
      <c r="B90" s="28" t="s">
        <v>81</v>
      </c>
      <c r="C90" s="29" t="n">
        <f aca="false">Ingresos!$D$8</f>
        <v>30.6</v>
      </c>
      <c r="D90" s="30" t="n">
        <f aca="false">C90/Ingresos!$D$68</f>
        <v>0.00685109779506757</v>
      </c>
      <c r="E90" s="2"/>
      <c r="F90" s="2"/>
      <c r="G90" s="2"/>
      <c r="H90" s="2"/>
      <c r="I90" s="2"/>
      <c r="J90" s="2"/>
      <c r="K90" s="2"/>
      <c r="L90" s="2"/>
    </row>
    <row r="91" customFormat="false" ht="15" hidden="false" customHeight="false" outlineLevel="0" collapsed="false">
      <c r="A91" s="6" t="s">
        <v>107</v>
      </c>
      <c r="B91" s="28" t="s">
        <v>77</v>
      </c>
      <c r="C91" s="29" t="n">
        <f aca="false">Ingresos!$D$19</f>
        <v>26.9424</v>
      </c>
      <c r="D91" s="30" t="n">
        <f aca="false">C91/Ingresos!$D$68</f>
        <v>0.00603219010568067</v>
      </c>
      <c r="E91" s="2"/>
      <c r="F91" s="2"/>
      <c r="G91" s="2"/>
      <c r="H91" s="2"/>
      <c r="I91" s="2"/>
      <c r="J91" s="2"/>
      <c r="K91" s="2"/>
      <c r="L91" s="2"/>
    </row>
    <row r="92" customFormat="false" ht="15" hidden="false" customHeight="false" outlineLevel="0" collapsed="false">
      <c r="A92" s="6" t="s">
        <v>108</v>
      </c>
      <c r="B92" s="28" t="s">
        <v>81</v>
      </c>
      <c r="C92" s="29" t="n">
        <f aca="false">Ingresos!$D$12</f>
        <v>24</v>
      </c>
      <c r="D92" s="30" t="n">
        <f aca="false">C92/Ingresos!$D$68</f>
        <v>0.00537341003534711</v>
      </c>
      <c r="E92" s="2"/>
      <c r="F92" s="2"/>
      <c r="G92" s="2"/>
      <c r="H92" s="2"/>
      <c r="I92" s="2"/>
      <c r="J92" s="2"/>
      <c r="K92" s="2"/>
      <c r="L92" s="2"/>
    </row>
    <row r="93" customFormat="false" ht="15" hidden="false" customHeight="false" outlineLevel="0" collapsed="false">
      <c r="A93" s="6" t="s">
        <v>109</v>
      </c>
      <c r="B93" s="28" t="s">
        <v>81</v>
      </c>
      <c r="C93" s="29" t="n">
        <f aca="false">Ingresos!$D$13</f>
        <v>24</v>
      </c>
      <c r="D93" s="30" t="n">
        <f aca="false">C93/Ingresos!$D$68</f>
        <v>0.00537341003534711</v>
      </c>
      <c r="E93" s="2"/>
      <c r="F93" s="2"/>
      <c r="G93" s="2"/>
      <c r="H93" s="2"/>
      <c r="I93" s="2"/>
      <c r="J93" s="2"/>
      <c r="K93" s="2"/>
      <c r="L93" s="2"/>
    </row>
    <row r="94" customFormat="false" ht="15" hidden="false" customHeight="false" outlineLevel="0" collapsed="false">
      <c r="A94" s="6" t="s">
        <v>110</v>
      </c>
      <c r="B94" s="28" t="s">
        <v>101</v>
      </c>
      <c r="C94" s="29" t="n">
        <f aca="false">Ingresos!$D$36</f>
        <v>20</v>
      </c>
      <c r="D94" s="30" t="n">
        <f aca="false">C94/Ingresos!$D$68</f>
        <v>0.00447784169612259</v>
      </c>
      <c r="E94" s="2"/>
      <c r="F94" s="2"/>
      <c r="G94" s="2"/>
      <c r="H94" s="2"/>
      <c r="I94" s="2"/>
      <c r="J94" s="2"/>
      <c r="K94" s="2"/>
      <c r="L94" s="2"/>
    </row>
    <row r="95" customFormat="false" ht="15" hidden="false" customHeight="false" outlineLevel="0" collapsed="false">
      <c r="A95" s="6" t="s">
        <v>111</v>
      </c>
      <c r="B95" s="28" t="s">
        <v>73</v>
      </c>
      <c r="C95" s="29" t="n">
        <f aca="false">Ingresos!$D$48</f>
        <v>16.8</v>
      </c>
      <c r="D95" s="30" t="n">
        <f aca="false">C95/Ingresos!$D$68</f>
        <v>0.00376138702474298</v>
      </c>
      <c r="E95" s="2"/>
      <c r="F95" s="2"/>
      <c r="G95" s="2"/>
      <c r="H95" s="2"/>
      <c r="I95" s="2"/>
      <c r="J95" s="2"/>
      <c r="K95" s="2"/>
      <c r="L95" s="2"/>
    </row>
    <row r="96" customFormat="false" ht="15" hidden="false" customHeight="false" outlineLevel="0" collapsed="false">
      <c r="A96" s="6" t="s">
        <v>112</v>
      </c>
      <c r="B96" s="28" t="s">
        <v>101</v>
      </c>
      <c r="C96" s="29" t="n">
        <f aca="false">Ingresos!$D$37</f>
        <v>15</v>
      </c>
      <c r="D96" s="30" t="n">
        <f aca="false">C96/Ingresos!$D$68</f>
        <v>0.00335838127209194</v>
      </c>
      <c r="E96" s="2"/>
      <c r="F96" s="2"/>
      <c r="G96" s="2"/>
      <c r="H96" s="2"/>
      <c r="I96" s="2"/>
      <c r="J96" s="2"/>
      <c r="K96" s="2"/>
      <c r="L96" s="2"/>
    </row>
    <row r="97" customFormat="false" ht="15" hidden="false" customHeight="false" outlineLevel="0" collapsed="false">
      <c r="A97" s="6" t="s">
        <v>113</v>
      </c>
      <c r="B97" s="28" t="s">
        <v>114</v>
      </c>
      <c r="C97" s="29" t="n">
        <f aca="false">Ingresos!$D$55</f>
        <v>11.388</v>
      </c>
      <c r="D97" s="30" t="n">
        <f aca="false">C97/Ingresos!$D$68</f>
        <v>0.0025496830617722</v>
      </c>
      <c r="E97" s="2"/>
      <c r="F97" s="2"/>
      <c r="G97" s="2"/>
      <c r="H97" s="2"/>
      <c r="I97" s="2"/>
      <c r="J97" s="2"/>
      <c r="K97" s="2"/>
      <c r="L97" s="2"/>
    </row>
    <row r="98" customFormat="false" ht="15" hidden="false" customHeight="false" outlineLevel="0" collapsed="false">
      <c r="A98" s="6" t="s">
        <v>115</v>
      </c>
      <c r="B98" s="28" t="s">
        <v>101</v>
      </c>
      <c r="C98" s="29" t="n">
        <f aca="false">Ingresos!$D$38</f>
        <v>10</v>
      </c>
      <c r="D98" s="30" t="n">
        <f aca="false">C98/Ingresos!$D$68</f>
        <v>0.0022389208480613</v>
      </c>
      <c r="E98" s="2"/>
      <c r="F98" s="2"/>
      <c r="G98" s="2"/>
      <c r="H98" s="2"/>
      <c r="I98" s="2"/>
      <c r="J98" s="2"/>
      <c r="K98" s="2"/>
      <c r="L98" s="2"/>
    </row>
    <row r="99" customFormat="false" ht="15" hidden="false" customHeight="false" outlineLevel="0" collapsed="false">
      <c r="A99" s="6" t="s">
        <v>116</v>
      </c>
      <c r="B99" s="28" t="s">
        <v>101</v>
      </c>
      <c r="C99" s="29" t="n">
        <f aca="false">Ingresos!$D$35</f>
        <v>9</v>
      </c>
      <c r="D99" s="30" t="n">
        <f aca="false">C99/Ingresos!$D$68</f>
        <v>0.00201502876325517</v>
      </c>
      <c r="E99" s="2"/>
      <c r="F99" s="2"/>
      <c r="G99" s="2"/>
      <c r="H99" s="2"/>
      <c r="I99" s="2"/>
      <c r="J99" s="2"/>
      <c r="K99" s="2"/>
      <c r="L99" s="2"/>
    </row>
    <row r="100" customFormat="false" ht="15" hidden="false" customHeight="false" outlineLevel="0" collapsed="false">
      <c r="A100" s="6" t="s">
        <v>117</v>
      </c>
      <c r="B100" s="28" t="s">
        <v>114</v>
      </c>
      <c r="C100" s="29" t="n">
        <f aca="false">Ingresos!$D$56</f>
        <v>4.77742480376961</v>
      </c>
      <c r="D100" s="30" t="n">
        <f aca="false">C100/Ingresos!$D$68</f>
        <v>0.00106962759932049</v>
      </c>
      <c r="E100" s="2"/>
      <c r="F100" s="2"/>
      <c r="G100" s="2"/>
      <c r="H100" s="2"/>
      <c r="I100" s="2"/>
      <c r="J100" s="2"/>
      <c r="K100" s="2"/>
      <c r="L100" s="2"/>
    </row>
    <row r="101" customFormat="false" ht="15" hidden="false" customHeight="false" outlineLevel="0" collapsed="false">
      <c r="A101" s="6" t="s">
        <v>118</v>
      </c>
      <c r="B101" s="28" t="s">
        <v>114</v>
      </c>
      <c r="C101" s="29" t="n">
        <f aca="false">Ingresos!$D$57</f>
        <v>2</v>
      </c>
      <c r="D101" s="30" t="n">
        <f aca="false">C101/Ingresos!$D$68</f>
        <v>0.000447784169612259</v>
      </c>
      <c r="E101" s="2"/>
      <c r="F101" s="2"/>
      <c r="G101" s="2"/>
      <c r="H101" s="2"/>
      <c r="I101" s="2"/>
      <c r="J101" s="2"/>
      <c r="K101" s="2"/>
      <c r="L101" s="2"/>
    </row>
    <row r="102" customFormat="false" ht="15" hidden="false" customHeight="false" outlineLevel="0" collapsed="false">
      <c r="A102" s="14" t="s">
        <v>119</v>
      </c>
      <c r="B102" s="2"/>
      <c r="C102" s="31" t="n">
        <f aca="false">SUM(C61:C101)</f>
        <v>4466.43748422777</v>
      </c>
      <c r="D102" s="2"/>
      <c r="E102" s="2"/>
      <c r="F102" s="2"/>
      <c r="G102" s="2"/>
      <c r="H102" s="2"/>
      <c r="I102" s="2"/>
      <c r="J102" s="2"/>
      <c r="K102" s="2"/>
      <c r="L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customFormat="false" ht="15" hidden="false" customHeight="false" outlineLevel="0" collapsed="false">
      <c r="A104" s="32" t="s">
        <v>120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customFormat="false" ht="30" hidden="false" customHeight="true" outlineLevel="0" collapsed="false">
      <c r="A105" s="33" t="s">
        <v>121</v>
      </c>
      <c r="B105" s="33"/>
      <c r="C105" s="33"/>
      <c r="D105" s="33"/>
      <c r="E105" s="33"/>
      <c r="F105" s="2"/>
      <c r="G105" s="2"/>
      <c r="H105" s="2"/>
      <c r="I105" s="2"/>
      <c r="J105" s="2"/>
      <c r="K105" s="2"/>
      <c r="L105" s="2"/>
    </row>
    <row r="106" customFormat="false" ht="30" hidden="false" customHeight="true" outlineLevel="0" collapsed="false">
      <c r="A106" s="33" t="str">
        <f aca="false">"• Los paneles se recalcularon con pérdidas reales: la cubierta genera más de lo que gasta el estadio, pero todo el conjunto (sobre todo la plaza) consume "&amp;TEXT(Energia!$D$31/Energia!$D$20,"0.0")&amp;" veces lo que generan."</f>
        <v>• Los paneles se recalcularon con pérdidas reales: la cubierta genera más de lo que gasta el estadio, pero todo el conjunto (sobre todo la plaza) consume 3.7 veces lo que generan.</v>
      </c>
      <c r="B106" s="33"/>
      <c r="C106" s="33"/>
      <c r="D106" s="33"/>
      <c r="E106" s="33"/>
      <c r="F106" s="2"/>
      <c r="G106" s="2"/>
      <c r="H106" s="2"/>
      <c r="I106" s="2"/>
      <c r="J106" s="2"/>
      <c r="K106" s="2"/>
      <c r="L106" s="2"/>
    </row>
    <row r="107" customFormat="false" ht="30" hidden="false" customHeight="true" outlineLevel="0" collapsed="false">
      <c r="A107" s="33" t="s">
        <v>122</v>
      </c>
      <c r="B107" s="33"/>
      <c r="C107" s="33"/>
      <c r="D107" s="33"/>
      <c r="E107" s="33"/>
      <c r="F107" s="2"/>
      <c r="G107" s="2"/>
      <c r="H107" s="2"/>
      <c r="I107" s="2"/>
      <c r="J107" s="2"/>
      <c r="K107" s="2"/>
      <c r="L107" s="2"/>
    </row>
    <row r="108" customFormat="false" ht="30" hidden="false" customHeight="true" outlineLevel="0" collapsed="false">
      <c r="A108" s="33" t="s">
        <v>123</v>
      </c>
      <c r="B108" s="33"/>
      <c r="C108" s="33"/>
      <c r="D108" s="33"/>
      <c r="E108" s="33"/>
      <c r="F108" s="2"/>
      <c r="G108" s="2"/>
      <c r="H108" s="2"/>
      <c r="I108" s="2"/>
      <c r="J108" s="2"/>
      <c r="K108" s="2"/>
      <c r="L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4" t="s">
        <v>34</v>
      </c>
      <c r="L120" s="35" t="n">
        <f aca="false">Energia!$D$20</f>
        <v>15.9247493458987</v>
      </c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4" t="s">
        <v>124</v>
      </c>
      <c r="L121" s="35" t="n">
        <f aca="false">Energia!$D$27</f>
        <v>8.594</v>
      </c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4" t="s">
        <v>125</v>
      </c>
      <c r="L122" s="35" t="n">
        <f aca="false">Energia!$D$28</f>
        <v>44.39966</v>
      </c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4" t="s">
        <v>126</v>
      </c>
      <c r="L123" s="35" t="n">
        <f aca="false">Energia!$D$29+Energia!$D$30</f>
        <v>5.591297</v>
      </c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4" t="s">
        <v>127</v>
      </c>
      <c r="L124" s="35" t="n">
        <f aca="false">Energia!$D$36</f>
        <v>42.6602076541013</v>
      </c>
    </row>
  </sheetData>
  <mergeCells count="4">
    <mergeCell ref="A105:E105"/>
    <mergeCell ref="A106:E106"/>
    <mergeCell ref="A107:E107"/>
    <mergeCell ref="A108:E1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128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129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132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133</v>
      </c>
      <c r="B7" s="7" t="s">
        <v>134</v>
      </c>
      <c r="C7" s="41" t="n">
        <v>18.5</v>
      </c>
      <c r="D7" s="41" t="n">
        <v>18.5</v>
      </c>
      <c r="E7" s="41" t="n">
        <v>18.5</v>
      </c>
      <c r="F7" s="42" t="s">
        <v>135</v>
      </c>
    </row>
    <row r="8" customFormat="false" ht="15" hidden="false" customHeight="false" outlineLevel="0" collapsed="false">
      <c r="A8" s="6" t="s">
        <v>136</v>
      </c>
      <c r="B8" s="7" t="s">
        <v>8</v>
      </c>
      <c r="C8" s="43" t="n">
        <v>53245</v>
      </c>
      <c r="D8" s="43" t="n">
        <v>53245</v>
      </c>
      <c r="E8" s="43" t="n">
        <v>53245</v>
      </c>
      <c r="F8" s="42" t="s">
        <v>137</v>
      </c>
    </row>
    <row r="9" customFormat="false" ht="15" hidden="false" customHeight="false" outlineLevel="0" collapsed="false">
      <c r="A9" s="6" t="s">
        <v>138</v>
      </c>
      <c r="B9" s="7" t="s">
        <v>8</v>
      </c>
      <c r="C9" s="43" t="n">
        <v>37235</v>
      </c>
      <c r="D9" s="43" t="n">
        <v>37235</v>
      </c>
      <c r="E9" s="43" t="n">
        <v>37235</v>
      </c>
      <c r="F9" s="42" t="s">
        <v>139</v>
      </c>
    </row>
    <row r="10" customFormat="false" ht="15" hidden="false" customHeight="false" outlineLevel="0" collapsed="false">
      <c r="A10" s="6" t="s">
        <v>140</v>
      </c>
      <c r="B10" s="7" t="s">
        <v>8</v>
      </c>
      <c r="C10" s="43" t="n">
        <v>17734</v>
      </c>
      <c r="D10" s="43" t="n">
        <v>17734</v>
      </c>
      <c r="E10" s="43" t="n">
        <v>17734</v>
      </c>
      <c r="F10" s="42" t="s">
        <v>141</v>
      </c>
    </row>
    <row r="11" customFormat="false" ht="15" hidden="false" customHeight="false" outlineLevel="0" collapsed="false">
      <c r="A11" s="6" t="s">
        <v>142</v>
      </c>
      <c r="B11" s="7" t="s">
        <v>8</v>
      </c>
      <c r="C11" s="43" t="n">
        <v>17196</v>
      </c>
      <c r="D11" s="43" t="n">
        <v>17196</v>
      </c>
      <c r="E11" s="43" t="n">
        <v>17196</v>
      </c>
      <c r="F11" s="42" t="s">
        <v>141</v>
      </c>
    </row>
    <row r="12" customFormat="false" ht="15" hidden="false" customHeight="false" outlineLevel="0" collapsed="false">
      <c r="A12" s="6" t="s">
        <v>143</v>
      </c>
      <c r="B12" s="7" t="s">
        <v>8</v>
      </c>
      <c r="C12" s="43" t="n">
        <v>18316</v>
      </c>
      <c r="D12" s="43" t="n">
        <v>18316</v>
      </c>
      <c r="E12" s="43" t="n">
        <v>18316</v>
      </c>
      <c r="F12" s="42" t="s">
        <v>141</v>
      </c>
    </row>
    <row r="13" customFormat="false" ht="15" hidden="false" customHeight="false" outlineLevel="0" collapsed="false">
      <c r="A13" s="6" t="s">
        <v>144</v>
      </c>
      <c r="B13" s="7" t="s">
        <v>8</v>
      </c>
      <c r="C13" s="43" t="n">
        <v>400</v>
      </c>
      <c r="D13" s="43" t="n">
        <v>300</v>
      </c>
      <c r="E13" s="43" t="n">
        <v>250</v>
      </c>
      <c r="F13" s="42" t="s">
        <v>145</v>
      </c>
    </row>
    <row r="14" customFormat="false" ht="15" hidden="false" customHeight="false" outlineLevel="0" collapsed="false">
      <c r="A14" s="6" t="s">
        <v>146</v>
      </c>
      <c r="B14" s="7" t="s">
        <v>23</v>
      </c>
      <c r="C14" s="44" t="n">
        <v>0.2</v>
      </c>
      <c r="D14" s="44" t="n">
        <v>0.2</v>
      </c>
      <c r="E14" s="44" t="n">
        <v>0.2</v>
      </c>
      <c r="F14" s="42" t="s">
        <v>147</v>
      </c>
    </row>
    <row r="15" customFormat="false" ht="15" hidden="false" customHeight="false" outlineLevel="0" collapsed="false">
      <c r="A15" s="6" t="s">
        <v>148</v>
      </c>
      <c r="B15" s="7" t="s">
        <v>23</v>
      </c>
      <c r="C15" s="44" t="n">
        <v>0.3</v>
      </c>
      <c r="D15" s="44" t="n">
        <v>0.3</v>
      </c>
      <c r="E15" s="44" t="n">
        <v>0.3</v>
      </c>
      <c r="F15" s="2"/>
    </row>
    <row r="16" customFormat="false" ht="15" hidden="false" customHeight="false" outlineLevel="0" collapsed="false">
      <c r="A16" s="6" t="s">
        <v>149</v>
      </c>
      <c r="B16" s="7" t="s">
        <v>23</v>
      </c>
      <c r="C16" s="44" t="n">
        <v>0.3</v>
      </c>
      <c r="D16" s="44" t="n">
        <v>0.3</v>
      </c>
      <c r="E16" s="44" t="n">
        <v>0.3</v>
      </c>
      <c r="F16" s="2"/>
    </row>
    <row r="17" customFormat="false" ht="15" hidden="false" customHeight="false" outlineLevel="0" collapsed="false">
      <c r="A17" s="6" t="s">
        <v>150</v>
      </c>
      <c r="B17" s="7" t="s">
        <v>23</v>
      </c>
      <c r="C17" s="44" t="n">
        <v>0.2</v>
      </c>
      <c r="D17" s="44" t="n">
        <v>0.2</v>
      </c>
      <c r="E17" s="44" t="n">
        <v>0.2</v>
      </c>
      <c r="F17" s="2"/>
    </row>
    <row r="18" customFormat="false" ht="15" hidden="false" customHeight="false" outlineLevel="0" collapsed="false">
      <c r="A18" s="6" t="s">
        <v>151</v>
      </c>
      <c r="B18" s="7" t="s">
        <v>152</v>
      </c>
      <c r="C18" s="44" t="n">
        <v>0.8</v>
      </c>
      <c r="D18" s="44" t="n">
        <v>0.85</v>
      </c>
      <c r="E18" s="44" t="n">
        <v>0.9</v>
      </c>
      <c r="F18" s="42" t="s">
        <v>153</v>
      </c>
    </row>
    <row r="19" customFormat="false" ht="15" hidden="false" customHeight="false" outlineLevel="0" collapsed="false">
      <c r="A19" s="6" t="s">
        <v>154</v>
      </c>
      <c r="B19" s="7" t="s">
        <v>152</v>
      </c>
      <c r="C19" s="44" t="n">
        <v>0.9</v>
      </c>
      <c r="D19" s="44" t="n">
        <v>0.95</v>
      </c>
      <c r="E19" s="44" t="n">
        <v>1</v>
      </c>
      <c r="F19" s="2"/>
    </row>
    <row r="20" customFormat="false" ht="15" hidden="false" customHeight="false" outlineLevel="0" collapsed="false">
      <c r="A20" s="6" t="s">
        <v>155</v>
      </c>
      <c r="B20" s="7" t="s">
        <v>23</v>
      </c>
      <c r="C20" s="44" t="n">
        <v>0.09</v>
      </c>
      <c r="D20" s="44" t="n">
        <v>0.08</v>
      </c>
      <c r="E20" s="44" t="n">
        <v>0.07</v>
      </c>
      <c r="F20" s="42" t="s">
        <v>156</v>
      </c>
    </row>
    <row r="21" customFormat="false" ht="15" hidden="false" customHeight="false" outlineLevel="0" collapsed="false">
      <c r="A21" s="6" t="s">
        <v>157</v>
      </c>
      <c r="B21" s="7" t="s">
        <v>23</v>
      </c>
      <c r="C21" s="44" t="n">
        <v>0.3</v>
      </c>
      <c r="D21" s="44" t="n">
        <v>0.3</v>
      </c>
      <c r="E21" s="44" t="n">
        <v>0.3</v>
      </c>
      <c r="F21" s="42" t="s">
        <v>158</v>
      </c>
    </row>
    <row r="22" customFormat="false" ht="15" hidden="false" customHeight="false" outlineLevel="0" collapsed="false">
      <c r="A22" s="6" t="s">
        <v>159</v>
      </c>
      <c r="B22" s="7" t="s">
        <v>160</v>
      </c>
      <c r="C22" s="44" t="n">
        <v>0.05</v>
      </c>
      <c r="D22" s="44" t="n">
        <v>0.05</v>
      </c>
      <c r="E22" s="44" t="n">
        <v>0.05</v>
      </c>
      <c r="F22" s="42" t="s">
        <v>161</v>
      </c>
    </row>
    <row r="23" customFormat="false" ht="15" hidden="false" customHeight="false" outlineLevel="0" collapsed="false">
      <c r="A23" s="6" t="s">
        <v>162</v>
      </c>
      <c r="B23" s="7" t="s">
        <v>23</v>
      </c>
      <c r="C23" s="44" t="n">
        <v>1</v>
      </c>
      <c r="D23" s="44" t="n">
        <v>1</v>
      </c>
      <c r="E23" s="44" t="n">
        <v>1</v>
      </c>
      <c r="F23" s="42" t="s">
        <v>163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39" t="s">
        <v>164</v>
      </c>
      <c r="B25" s="40"/>
      <c r="C25" s="40"/>
      <c r="D25" s="40"/>
      <c r="E25" s="40"/>
      <c r="F25" s="40"/>
    </row>
    <row r="26" customFormat="false" ht="15" hidden="false" customHeight="false" outlineLevel="0" collapsed="false">
      <c r="A26" s="6" t="s">
        <v>165</v>
      </c>
      <c r="B26" s="7" t="s">
        <v>166</v>
      </c>
      <c r="C26" s="43" t="n">
        <v>25</v>
      </c>
      <c r="D26" s="43" t="n">
        <v>30</v>
      </c>
      <c r="E26" s="43" t="n">
        <v>34</v>
      </c>
      <c r="F26" s="2"/>
    </row>
    <row r="27" customFormat="false" ht="15" hidden="false" customHeight="false" outlineLevel="0" collapsed="false">
      <c r="A27" s="6" t="s">
        <v>167</v>
      </c>
      <c r="B27" s="7" t="s">
        <v>14</v>
      </c>
      <c r="C27" s="43" t="n">
        <v>45000</v>
      </c>
      <c r="D27" s="43" t="n">
        <v>58000</v>
      </c>
      <c r="E27" s="43" t="n">
        <v>70000</v>
      </c>
      <c r="F27" s="2"/>
    </row>
    <row r="28" customFormat="false" ht="15" hidden="false" customHeight="false" outlineLevel="0" collapsed="false">
      <c r="A28" s="6" t="s">
        <v>168</v>
      </c>
      <c r="B28" s="7" t="s">
        <v>169</v>
      </c>
      <c r="C28" s="43" t="n">
        <v>380</v>
      </c>
      <c r="D28" s="43" t="n">
        <v>480</v>
      </c>
      <c r="E28" s="43" t="n">
        <v>600</v>
      </c>
      <c r="F28" s="2"/>
    </row>
    <row r="29" customFormat="false" ht="15" hidden="false" customHeight="false" outlineLevel="0" collapsed="false">
      <c r="A29" s="6" t="s">
        <v>170</v>
      </c>
      <c r="B29" s="7" t="s">
        <v>171</v>
      </c>
      <c r="C29" s="44" t="n">
        <v>0.1</v>
      </c>
      <c r="D29" s="44" t="n">
        <v>0.12</v>
      </c>
      <c r="E29" s="44" t="n">
        <v>0.15</v>
      </c>
      <c r="F29" s="42" t="s">
        <v>172</v>
      </c>
    </row>
    <row r="30" customFormat="false" ht="15" hidden="false" customHeight="false" outlineLevel="0" collapsed="false">
      <c r="A30" s="6" t="s">
        <v>173</v>
      </c>
      <c r="B30" s="7" t="s">
        <v>174</v>
      </c>
      <c r="C30" s="43" t="n">
        <v>150</v>
      </c>
      <c r="D30" s="43" t="n">
        <v>190</v>
      </c>
      <c r="E30" s="43" t="n">
        <v>240</v>
      </c>
      <c r="F30" s="2"/>
    </row>
    <row r="31" customFormat="false" ht="15" hidden="false" customHeight="false" outlineLevel="0" collapsed="false">
      <c r="A31" s="6" t="s">
        <v>175</v>
      </c>
      <c r="B31" s="7" t="s">
        <v>166</v>
      </c>
      <c r="C31" s="43" t="n">
        <v>2</v>
      </c>
      <c r="D31" s="43" t="n">
        <v>3</v>
      </c>
      <c r="E31" s="43" t="n">
        <v>4</v>
      </c>
      <c r="F31" s="2"/>
    </row>
    <row r="32" customFormat="false" ht="15" hidden="false" customHeight="false" outlineLevel="0" collapsed="false">
      <c r="A32" s="6" t="s">
        <v>176</v>
      </c>
      <c r="B32" s="7" t="s">
        <v>14</v>
      </c>
      <c r="C32" s="43" t="n">
        <v>70000</v>
      </c>
      <c r="D32" s="43" t="n">
        <v>80000</v>
      </c>
      <c r="E32" s="43" t="n">
        <v>90000</v>
      </c>
      <c r="F32" s="2"/>
    </row>
    <row r="33" customFormat="false" ht="15" hidden="false" customHeight="false" outlineLevel="0" collapsed="false">
      <c r="A33" s="6" t="s">
        <v>177</v>
      </c>
      <c r="B33" s="7" t="s">
        <v>169</v>
      </c>
      <c r="C33" s="43" t="n">
        <v>700</v>
      </c>
      <c r="D33" s="43" t="n">
        <v>850</v>
      </c>
      <c r="E33" s="43" t="n">
        <v>1000</v>
      </c>
      <c r="F33" s="2"/>
    </row>
    <row r="34" customFormat="false" ht="15" hidden="false" customHeight="false" outlineLevel="0" collapsed="false">
      <c r="A34" s="6" t="s">
        <v>178</v>
      </c>
      <c r="B34" s="7" t="s">
        <v>171</v>
      </c>
      <c r="C34" s="44" t="n">
        <v>0.12</v>
      </c>
      <c r="D34" s="44" t="n">
        <v>0.15</v>
      </c>
      <c r="E34" s="44" t="n">
        <v>0.18</v>
      </c>
      <c r="F34" s="42" t="s">
        <v>172</v>
      </c>
    </row>
    <row r="35" customFormat="false" ht="15" hidden="false" customHeight="false" outlineLevel="0" collapsed="false">
      <c r="A35" s="6" t="s">
        <v>179</v>
      </c>
      <c r="B35" s="7" t="s">
        <v>174</v>
      </c>
      <c r="C35" s="43" t="n">
        <v>170</v>
      </c>
      <c r="D35" s="43" t="n">
        <v>210</v>
      </c>
      <c r="E35" s="43" t="n">
        <v>260</v>
      </c>
      <c r="F35" s="2"/>
    </row>
    <row r="36" customFormat="false" ht="15" hidden="false" customHeight="false" outlineLevel="0" collapsed="false">
      <c r="A36" s="6" t="s">
        <v>180</v>
      </c>
      <c r="B36" s="7" t="s">
        <v>166</v>
      </c>
      <c r="C36" s="43" t="n">
        <v>8</v>
      </c>
      <c r="D36" s="43" t="n">
        <v>12</v>
      </c>
      <c r="E36" s="43" t="n">
        <v>18</v>
      </c>
      <c r="F36" s="42" t="s">
        <v>181</v>
      </c>
    </row>
    <row r="37" customFormat="false" ht="15" hidden="false" customHeight="false" outlineLevel="0" collapsed="false">
      <c r="A37" s="6" t="s">
        <v>182</v>
      </c>
      <c r="B37" s="7" t="s">
        <v>14</v>
      </c>
      <c r="C37" s="43" t="n">
        <v>80000</v>
      </c>
      <c r="D37" s="43" t="n">
        <v>92000</v>
      </c>
      <c r="E37" s="43" t="n">
        <v>100000</v>
      </c>
      <c r="F37" s="2"/>
    </row>
    <row r="38" customFormat="false" ht="15" hidden="false" customHeight="false" outlineLevel="0" collapsed="false">
      <c r="A38" s="6" t="s">
        <v>183</v>
      </c>
      <c r="B38" s="7" t="s">
        <v>169</v>
      </c>
      <c r="C38" s="43" t="n">
        <v>1700</v>
      </c>
      <c r="D38" s="43" t="n">
        <v>2200</v>
      </c>
      <c r="E38" s="43" t="n">
        <v>2600</v>
      </c>
      <c r="F38" s="2"/>
    </row>
    <row r="39" customFormat="false" ht="15" hidden="false" customHeight="false" outlineLevel="0" collapsed="false">
      <c r="A39" s="6" t="s">
        <v>184</v>
      </c>
      <c r="B39" s="7" t="s">
        <v>171</v>
      </c>
      <c r="C39" s="44" t="n">
        <v>0.08</v>
      </c>
      <c r="D39" s="44" t="n">
        <v>0.1</v>
      </c>
      <c r="E39" s="44" t="n">
        <v>0.12</v>
      </c>
      <c r="F39" s="42" t="s">
        <v>185</v>
      </c>
    </row>
    <row r="40" customFormat="false" ht="15" hidden="false" customHeight="false" outlineLevel="0" collapsed="false">
      <c r="A40" s="6" t="s">
        <v>186</v>
      </c>
      <c r="B40" s="7" t="s">
        <v>174</v>
      </c>
      <c r="C40" s="43" t="n">
        <v>280</v>
      </c>
      <c r="D40" s="43" t="n">
        <v>350</v>
      </c>
      <c r="E40" s="43" t="n">
        <v>450</v>
      </c>
      <c r="F40" s="2"/>
    </row>
    <row r="41" customFormat="false" ht="15" hidden="false" customHeight="false" outlineLevel="0" collapsed="false">
      <c r="A41" s="6" t="s">
        <v>187</v>
      </c>
      <c r="B41" s="7" t="s">
        <v>166</v>
      </c>
      <c r="C41" s="43" t="n">
        <v>0</v>
      </c>
      <c r="D41" s="43" t="n">
        <v>1</v>
      </c>
      <c r="E41" s="43" t="n">
        <v>1</v>
      </c>
      <c r="F41" s="2"/>
    </row>
    <row r="42" customFormat="false" ht="15" hidden="false" customHeight="false" outlineLevel="0" collapsed="false">
      <c r="A42" s="6" t="s">
        <v>188</v>
      </c>
      <c r="B42" s="7" t="s">
        <v>14</v>
      </c>
      <c r="C42" s="43" t="n">
        <v>70000</v>
      </c>
      <c r="D42" s="43" t="n">
        <v>78000</v>
      </c>
      <c r="E42" s="43" t="n">
        <v>85000</v>
      </c>
      <c r="F42" s="2"/>
    </row>
    <row r="43" customFormat="false" ht="15" hidden="false" customHeight="false" outlineLevel="0" collapsed="false">
      <c r="A43" s="6" t="s">
        <v>189</v>
      </c>
      <c r="B43" s="7" t="s">
        <v>169</v>
      </c>
      <c r="C43" s="43" t="n">
        <v>2500</v>
      </c>
      <c r="D43" s="43" t="n">
        <v>3200</v>
      </c>
      <c r="E43" s="43" t="n">
        <v>4000</v>
      </c>
      <c r="F43" s="2"/>
    </row>
    <row r="44" customFormat="false" ht="15" hidden="false" customHeight="false" outlineLevel="0" collapsed="false">
      <c r="A44" s="6" t="s">
        <v>190</v>
      </c>
      <c r="B44" s="7" t="s">
        <v>191</v>
      </c>
      <c r="C44" s="45" t="n">
        <v>45</v>
      </c>
      <c r="D44" s="45" t="n">
        <v>60</v>
      </c>
      <c r="E44" s="45" t="n">
        <v>80</v>
      </c>
      <c r="F44" s="2"/>
    </row>
    <row r="45" customFormat="false" ht="15" hidden="false" customHeight="false" outlineLevel="0" collapsed="false">
      <c r="A45" s="6" t="s">
        <v>192</v>
      </c>
      <c r="B45" s="7" t="s">
        <v>174</v>
      </c>
      <c r="C45" s="43" t="n">
        <v>300</v>
      </c>
      <c r="D45" s="43" t="n">
        <v>380</v>
      </c>
      <c r="E45" s="43" t="n">
        <v>480</v>
      </c>
      <c r="F45" s="2"/>
    </row>
    <row r="46" customFormat="false" ht="15" hidden="false" customHeight="false" outlineLevel="0" collapsed="false">
      <c r="A46" s="6" t="s">
        <v>193</v>
      </c>
      <c r="B46" s="7" t="s">
        <v>166</v>
      </c>
      <c r="C46" s="43" t="n">
        <v>4</v>
      </c>
      <c r="D46" s="43" t="n">
        <v>6</v>
      </c>
      <c r="E46" s="43" t="n">
        <v>10</v>
      </c>
      <c r="F46" s="2"/>
    </row>
    <row r="47" customFormat="false" ht="15" hidden="false" customHeight="false" outlineLevel="0" collapsed="false">
      <c r="A47" s="6" t="s">
        <v>194</v>
      </c>
      <c r="B47" s="7" t="s">
        <v>14</v>
      </c>
      <c r="C47" s="43" t="n">
        <v>50000</v>
      </c>
      <c r="D47" s="43" t="n">
        <v>60000</v>
      </c>
      <c r="E47" s="43" t="n">
        <v>70000</v>
      </c>
      <c r="F47" s="2"/>
    </row>
    <row r="48" customFormat="false" ht="15" hidden="false" customHeight="false" outlineLevel="0" collapsed="false">
      <c r="A48" s="6" t="s">
        <v>195</v>
      </c>
      <c r="B48" s="7" t="s">
        <v>169</v>
      </c>
      <c r="C48" s="43" t="n">
        <v>1500</v>
      </c>
      <c r="D48" s="43" t="n">
        <v>1800</v>
      </c>
      <c r="E48" s="43" t="n">
        <v>2200</v>
      </c>
      <c r="F48" s="2"/>
    </row>
    <row r="49" customFormat="false" ht="15" hidden="false" customHeight="false" outlineLevel="0" collapsed="false">
      <c r="A49" s="6" t="s">
        <v>196</v>
      </c>
      <c r="B49" s="7" t="s">
        <v>191</v>
      </c>
      <c r="C49" s="45" t="n">
        <v>10</v>
      </c>
      <c r="D49" s="45" t="n">
        <v>15</v>
      </c>
      <c r="E49" s="45" t="n">
        <v>20</v>
      </c>
      <c r="F49" s="2"/>
    </row>
    <row r="50" customFormat="false" ht="15" hidden="false" customHeight="false" outlineLevel="0" collapsed="false">
      <c r="A50" s="6" t="s">
        <v>197</v>
      </c>
      <c r="B50" s="7" t="s">
        <v>174</v>
      </c>
      <c r="C50" s="43" t="n">
        <v>280</v>
      </c>
      <c r="D50" s="43" t="n">
        <v>350</v>
      </c>
      <c r="E50" s="43" t="n">
        <v>450</v>
      </c>
      <c r="F50" s="2"/>
    </row>
    <row r="51" customFormat="false" ht="15" hidden="false" customHeight="false" outlineLevel="0" collapsed="false">
      <c r="A51" s="6" t="s">
        <v>198</v>
      </c>
      <c r="B51" s="7" t="s">
        <v>166</v>
      </c>
      <c r="C51" s="43" t="n">
        <v>1</v>
      </c>
      <c r="D51" s="43" t="n">
        <v>2</v>
      </c>
      <c r="E51" s="43" t="n">
        <v>4</v>
      </c>
      <c r="F51" s="2"/>
    </row>
    <row r="52" customFormat="false" ht="15" hidden="false" customHeight="false" outlineLevel="0" collapsed="false">
      <c r="A52" s="6" t="s">
        <v>199</v>
      </c>
      <c r="B52" s="7" t="s">
        <v>14</v>
      </c>
      <c r="C52" s="43" t="n">
        <v>40000</v>
      </c>
      <c r="D52" s="43" t="n">
        <v>50000</v>
      </c>
      <c r="E52" s="43" t="n">
        <v>60000</v>
      </c>
      <c r="F52" s="2"/>
    </row>
    <row r="53" customFormat="false" ht="15" hidden="false" customHeight="false" outlineLevel="0" collapsed="false">
      <c r="A53" s="6" t="s">
        <v>200</v>
      </c>
      <c r="B53" s="7" t="s">
        <v>169</v>
      </c>
      <c r="C53" s="43" t="n">
        <v>1200</v>
      </c>
      <c r="D53" s="43" t="n">
        <v>1500</v>
      </c>
      <c r="E53" s="43" t="n">
        <v>2000</v>
      </c>
      <c r="F53" s="2"/>
    </row>
    <row r="54" customFormat="false" ht="15" hidden="false" customHeight="false" outlineLevel="0" collapsed="false">
      <c r="A54" s="6" t="s">
        <v>201</v>
      </c>
      <c r="B54" s="7" t="s">
        <v>191</v>
      </c>
      <c r="C54" s="45" t="n">
        <v>8</v>
      </c>
      <c r="D54" s="45" t="n">
        <v>12</v>
      </c>
      <c r="E54" s="45" t="n">
        <v>18</v>
      </c>
      <c r="F54" s="2"/>
    </row>
    <row r="55" customFormat="false" ht="15" hidden="false" customHeight="false" outlineLevel="0" collapsed="false">
      <c r="A55" s="6" t="s">
        <v>202</v>
      </c>
      <c r="B55" s="7" t="s">
        <v>174</v>
      </c>
      <c r="C55" s="43" t="n">
        <v>220</v>
      </c>
      <c r="D55" s="43" t="n">
        <v>280</v>
      </c>
      <c r="E55" s="43" t="n">
        <v>350</v>
      </c>
      <c r="F55" s="2"/>
    </row>
    <row r="56" customFormat="false" ht="15" hidden="false" customHeight="false" outlineLevel="0" collapsed="false">
      <c r="A56" s="6" t="s">
        <v>203</v>
      </c>
      <c r="B56" s="7" t="s">
        <v>166</v>
      </c>
      <c r="C56" s="43" t="n">
        <v>2</v>
      </c>
      <c r="D56" s="43" t="n">
        <v>4</v>
      </c>
      <c r="E56" s="43" t="n">
        <v>6</v>
      </c>
      <c r="F56" s="2"/>
    </row>
    <row r="57" customFormat="false" ht="15" hidden="false" customHeight="false" outlineLevel="0" collapsed="false">
      <c r="A57" s="6" t="s">
        <v>204</v>
      </c>
      <c r="B57" s="7" t="s">
        <v>14</v>
      </c>
      <c r="C57" s="43" t="n">
        <v>25000</v>
      </c>
      <c r="D57" s="43" t="n">
        <v>30000</v>
      </c>
      <c r="E57" s="43" t="n">
        <v>40000</v>
      </c>
      <c r="F57" s="2"/>
    </row>
    <row r="58" customFormat="false" ht="15" hidden="false" customHeight="false" outlineLevel="0" collapsed="false">
      <c r="A58" s="6" t="s">
        <v>205</v>
      </c>
      <c r="B58" s="7" t="s">
        <v>169</v>
      </c>
      <c r="C58" s="43" t="n">
        <v>300</v>
      </c>
      <c r="D58" s="43" t="n">
        <v>400</v>
      </c>
      <c r="E58" s="43" t="n">
        <v>500</v>
      </c>
      <c r="F58" s="2"/>
    </row>
    <row r="59" customFormat="false" ht="15" hidden="false" customHeight="false" outlineLevel="0" collapsed="false">
      <c r="A59" s="6" t="s">
        <v>206</v>
      </c>
      <c r="B59" s="7" t="s">
        <v>191</v>
      </c>
      <c r="C59" s="45" t="n">
        <v>4</v>
      </c>
      <c r="D59" s="45" t="n">
        <v>6</v>
      </c>
      <c r="E59" s="45" t="n">
        <v>8</v>
      </c>
      <c r="F59" s="2"/>
    </row>
    <row r="60" customFormat="false" ht="15" hidden="false" customHeight="false" outlineLevel="0" collapsed="false">
      <c r="A60" s="6" t="s">
        <v>207</v>
      </c>
      <c r="B60" s="7" t="s">
        <v>174</v>
      </c>
      <c r="C60" s="43" t="n">
        <v>120</v>
      </c>
      <c r="D60" s="43" t="n">
        <v>150</v>
      </c>
      <c r="E60" s="43" t="n">
        <v>200</v>
      </c>
      <c r="F60" s="2"/>
    </row>
    <row r="61" customFormat="false" ht="15" hidden="false" customHeight="false" outlineLevel="0" collapsed="false">
      <c r="A61" s="6" t="s">
        <v>208</v>
      </c>
      <c r="B61" s="7" t="s">
        <v>209</v>
      </c>
      <c r="C61" s="43" t="n">
        <v>100289</v>
      </c>
      <c r="D61" s="43" t="n">
        <v>100289</v>
      </c>
      <c r="E61" s="43" t="n">
        <v>100289</v>
      </c>
      <c r="F61" s="42" t="s">
        <v>210</v>
      </c>
    </row>
    <row r="62" customFormat="false" ht="15" hidden="false" customHeight="false" outlineLevel="0" collapsed="false">
      <c r="A62" s="6" t="s">
        <v>211</v>
      </c>
      <c r="B62" s="7" t="s">
        <v>212</v>
      </c>
      <c r="C62" s="44" t="n">
        <v>0.35</v>
      </c>
      <c r="D62" s="44" t="n">
        <v>0.4</v>
      </c>
      <c r="E62" s="44" t="n">
        <v>0.45</v>
      </c>
      <c r="F62" s="42" t="s">
        <v>213</v>
      </c>
    </row>
    <row r="63" customFormat="false" ht="15" hidden="false" customHeight="false" outlineLevel="0" collapsed="false">
      <c r="A63" s="6" t="s">
        <v>214</v>
      </c>
      <c r="B63" s="7" t="s">
        <v>174</v>
      </c>
      <c r="C63" s="43" t="n">
        <v>40</v>
      </c>
      <c r="D63" s="43" t="n">
        <v>60</v>
      </c>
      <c r="E63" s="43" t="n">
        <v>80</v>
      </c>
      <c r="F63" s="2"/>
    </row>
    <row r="64" customFormat="false" ht="15" hidden="false" customHeight="false" outlineLevel="0" collapsed="false">
      <c r="A64" s="6" t="s">
        <v>215</v>
      </c>
      <c r="B64" s="7" t="s">
        <v>212</v>
      </c>
      <c r="C64" s="44" t="n">
        <v>0.1</v>
      </c>
      <c r="D64" s="44" t="n">
        <v>0.12</v>
      </c>
      <c r="E64" s="44" t="n">
        <v>0.15</v>
      </c>
      <c r="F64" s="2"/>
    </row>
    <row r="65" customFormat="false" ht="15" hidden="false" customHeight="false" outlineLevel="0" collapsed="false">
      <c r="A65" s="6" t="s">
        <v>216</v>
      </c>
      <c r="B65" s="7" t="s">
        <v>217</v>
      </c>
      <c r="C65" s="43" t="n">
        <v>40</v>
      </c>
      <c r="D65" s="43" t="n">
        <v>50</v>
      </c>
      <c r="E65" s="43" t="n">
        <v>70</v>
      </c>
      <c r="F65" s="42" t="s">
        <v>218</v>
      </c>
    </row>
    <row r="66" customFormat="false" ht="15" hidden="false" customHeight="false" outlineLevel="0" collapsed="false">
      <c r="A66" s="6" t="s">
        <v>219</v>
      </c>
      <c r="B66" s="7" t="s">
        <v>171</v>
      </c>
      <c r="C66" s="44" t="n">
        <v>0.02</v>
      </c>
      <c r="D66" s="44" t="n">
        <v>0.03</v>
      </c>
      <c r="E66" s="44" t="n">
        <v>0.04</v>
      </c>
      <c r="F66" s="42" t="s">
        <v>220</v>
      </c>
    </row>
    <row r="67" customFormat="false" ht="15" hidden="false" customHeight="false" outlineLevel="0" collapsed="false">
      <c r="A67" s="6" t="s">
        <v>221</v>
      </c>
      <c r="B67" s="7" t="s">
        <v>209</v>
      </c>
      <c r="C67" s="43" t="n">
        <v>1500</v>
      </c>
      <c r="D67" s="43" t="n">
        <v>2000</v>
      </c>
      <c r="E67" s="43" t="n">
        <v>2500</v>
      </c>
      <c r="F67" s="2"/>
    </row>
    <row r="68" customFormat="false" ht="15" hidden="false" customHeight="false" outlineLevel="0" collapsed="false">
      <c r="A68" s="6" t="s">
        <v>222</v>
      </c>
      <c r="B68" s="7" t="s">
        <v>174</v>
      </c>
      <c r="C68" s="43" t="n">
        <v>2000</v>
      </c>
      <c r="D68" s="43" t="n">
        <v>2500</v>
      </c>
      <c r="E68" s="43" t="n">
        <v>3000</v>
      </c>
      <c r="F68" s="2"/>
    </row>
    <row r="69" customFormat="false" ht="15" hidden="false" customHeight="false" outlineLevel="0" collapsed="false">
      <c r="A69" s="6" t="s">
        <v>223</v>
      </c>
      <c r="B69" s="7" t="s">
        <v>23</v>
      </c>
      <c r="C69" s="44" t="n">
        <v>0.25</v>
      </c>
      <c r="D69" s="44" t="n">
        <v>0.3</v>
      </c>
      <c r="E69" s="44" t="n">
        <v>0.35</v>
      </c>
      <c r="F69" s="2"/>
    </row>
    <row r="70" customFormat="false" ht="15" hidden="false" customHeight="false" outlineLevel="0" collapsed="false">
      <c r="A70" s="6" t="s">
        <v>224</v>
      </c>
      <c r="B70" s="7" t="s">
        <v>225</v>
      </c>
      <c r="C70" s="41" t="n">
        <v>0.07</v>
      </c>
      <c r="D70" s="41" t="n">
        <v>0.08</v>
      </c>
      <c r="E70" s="41" t="n">
        <v>0.09</v>
      </c>
      <c r="F70" s="42" t="s">
        <v>226</v>
      </c>
    </row>
    <row r="71" customFormat="false" ht="15" hidden="false" customHeight="false" outlineLevel="0" collapsed="false">
      <c r="A71" s="6" t="s">
        <v>227</v>
      </c>
      <c r="B71" s="7" t="s">
        <v>228</v>
      </c>
      <c r="C71" s="43" t="n">
        <v>200</v>
      </c>
      <c r="D71" s="43" t="n">
        <v>250</v>
      </c>
      <c r="E71" s="43" t="n">
        <v>300</v>
      </c>
      <c r="F71" s="2"/>
    </row>
    <row r="72" customFormat="false" ht="15" hidden="false" customHeight="false" outlineLevel="0" collapsed="false">
      <c r="A72" s="6" t="s">
        <v>229</v>
      </c>
      <c r="B72" s="7" t="s">
        <v>14</v>
      </c>
      <c r="C72" s="43" t="n">
        <v>2800</v>
      </c>
      <c r="D72" s="43" t="n">
        <v>2500</v>
      </c>
      <c r="E72" s="43" t="n">
        <v>2200</v>
      </c>
      <c r="F72" s="2"/>
    </row>
    <row r="73" customFormat="false" ht="15" hidden="false" customHeight="false" outlineLevel="0" collapsed="false">
      <c r="A73" s="6" t="s">
        <v>230</v>
      </c>
      <c r="B73" s="7" t="s">
        <v>174</v>
      </c>
      <c r="C73" s="43" t="n">
        <v>950</v>
      </c>
      <c r="D73" s="43" t="n">
        <v>900</v>
      </c>
      <c r="E73" s="43" t="n">
        <v>850</v>
      </c>
      <c r="F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</row>
    <row r="75" customFormat="false" ht="15" hidden="false" customHeight="false" outlineLevel="0" collapsed="false">
      <c r="A75" s="39" t="s">
        <v>231</v>
      </c>
      <c r="B75" s="40"/>
      <c r="C75" s="40"/>
      <c r="D75" s="40"/>
      <c r="E75" s="40"/>
      <c r="F75" s="40"/>
    </row>
    <row r="76" customFormat="false" ht="15" hidden="false" customHeight="false" outlineLevel="0" collapsed="false">
      <c r="A76" s="6" t="s">
        <v>232</v>
      </c>
      <c r="B76" s="7" t="s">
        <v>233</v>
      </c>
      <c r="C76" s="43" t="n">
        <v>200</v>
      </c>
      <c r="D76" s="43" t="n">
        <v>250</v>
      </c>
      <c r="E76" s="43" t="n">
        <v>280</v>
      </c>
      <c r="F76" s="42" t="s">
        <v>234</v>
      </c>
    </row>
    <row r="77" customFormat="false" ht="15" hidden="false" customHeight="false" outlineLevel="0" collapsed="false">
      <c r="A77" s="6" t="s">
        <v>235</v>
      </c>
      <c r="B77" s="7" t="s">
        <v>8</v>
      </c>
      <c r="C77" s="41" t="n">
        <v>1.4</v>
      </c>
      <c r="D77" s="41" t="n">
        <v>1.8</v>
      </c>
      <c r="E77" s="41" t="n">
        <v>2.2</v>
      </c>
      <c r="F77" s="42" t="s">
        <v>236</v>
      </c>
    </row>
    <row r="78" customFormat="false" ht="15" hidden="false" customHeight="false" outlineLevel="0" collapsed="false">
      <c r="A78" s="6" t="s">
        <v>237</v>
      </c>
      <c r="B78" s="7" t="s">
        <v>23</v>
      </c>
      <c r="C78" s="44" t="n">
        <v>0.8</v>
      </c>
      <c r="D78" s="44" t="n">
        <v>0.9</v>
      </c>
      <c r="E78" s="44" t="n">
        <v>0.95</v>
      </c>
      <c r="F78" s="2"/>
    </row>
    <row r="79" customFormat="false" ht="15" hidden="false" customHeight="false" outlineLevel="0" collapsed="false">
      <c r="A79" s="6" t="s">
        <v>238</v>
      </c>
      <c r="B79" s="7" t="s">
        <v>209</v>
      </c>
      <c r="C79" s="43" t="n">
        <v>3000</v>
      </c>
      <c r="D79" s="43" t="n">
        <v>4000</v>
      </c>
      <c r="E79" s="43" t="n">
        <v>5000</v>
      </c>
      <c r="F79" s="42" t="s">
        <v>239</v>
      </c>
    </row>
    <row r="80" customFormat="false" ht="15" hidden="false" customHeight="false" outlineLevel="0" collapsed="false">
      <c r="A80" s="6" t="s">
        <v>240</v>
      </c>
      <c r="B80" s="7" t="s">
        <v>169</v>
      </c>
      <c r="C80" s="43" t="n">
        <v>45000</v>
      </c>
      <c r="D80" s="43" t="n">
        <v>60000</v>
      </c>
      <c r="E80" s="43" t="n">
        <v>75000</v>
      </c>
      <c r="F80" s="2"/>
    </row>
    <row r="81" customFormat="false" ht="15" hidden="false" customHeight="false" outlineLevel="0" collapsed="false">
      <c r="A81" s="6" t="s">
        <v>241</v>
      </c>
      <c r="B81" s="7" t="s">
        <v>23</v>
      </c>
      <c r="C81" s="44" t="n">
        <v>0.75</v>
      </c>
      <c r="D81" s="44" t="n">
        <v>0.85</v>
      </c>
      <c r="E81" s="44" t="n">
        <v>0.95</v>
      </c>
      <c r="F81" s="2"/>
    </row>
    <row r="82" customFormat="false" ht="15" hidden="false" customHeight="false" outlineLevel="0" collapsed="false">
      <c r="A82" s="6" t="s">
        <v>242</v>
      </c>
      <c r="B82" s="7" t="s">
        <v>243</v>
      </c>
      <c r="C82" s="46" t="n">
        <v>4</v>
      </c>
      <c r="D82" s="46" t="n">
        <v>6</v>
      </c>
      <c r="E82" s="46" t="n">
        <v>8</v>
      </c>
      <c r="F82" s="42" t="s">
        <v>244</v>
      </c>
    </row>
    <row r="83" customFormat="false" ht="15" hidden="false" customHeight="false" outlineLevel="0" collapsed="false">
      <c r="A83" s="6" t="s">
        <v>84</v>
      </c>
      <c r="B83" s="7" t="s">
        <v>16</v>
      </c>
      <c r="C83" s="43" t="n">
        <v>100</v>
      </c>
      <c r="D83" s="43" t="n">
        <v>150</v>
      </c>
      <c r="E83" s="43" t="n">
        <v>200</v>
      </c>
      <c r="F83" s="2"/>
    </row>
    <row r="84" customFormat="false" ht="15" hidden="false" customHeight="false" outlineLevel="0" collapsed="false">
      <c r="A84" s="6" t="s">
        <v>245</v>
      </c>
      <c r="B84" s="7" t="s">
        <v>16</v>
      </c>
      <c r="C84" s="43" t="n">
        <v>20</v>
      </c>
      <c r="D84" s="43" t="n">
        <v>35</v>
      </c>
      <c r="E84" s="43" t="n">
        <v>50</v>
      </c>
      <c r="F84" s="2"/>
    </row>
    <row r="85" customFormat="false" ht="15" hidden="false" customHeight="false" outlineLevel="0" collapsed="false">
      <c r="A85" s="6" t="s">
        <v>246</v>
      </c>
      <c r="B85" s="7" t="s">
        <v>16</v>
      </c>
      <c r="C85" s="43" t="n">
        <v>40</v>
      </c>
      <c r="D85" s="43" t="n">
        <v>60</v>
      </c>
      <c r="E85" s="43" t="n">
        <v>90</v>
      </c>
      <c r="F85" s="42" t="s">
        <v>247</v>
      </c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</row>
    <row r="87" customFormat="false" ht="15" hidden="false" customHeight="false" outlineLevel="0" collapsed="false">
      <c r="A87" s="39" t="s">
        <v>248</v>
      </c>
      <c r="B87" s="40"/>
      <c r="C87" s="40"/>
      <c r="D87" s="40"/>
      <c r="E87" s="40"/>
      <c r="F87" s="40"/>
    </row>
    <row r="88" customFormat="false" ht="15" hidden="false" customHeight="false" outlineLevel="0" collapsed="false">
      <c r="A88" s="6" t="s">
        <v>249</v>
      </c>
      <c r="B88" s="7" t="s">
        <v>250</v>
      </c>
      <c r="C88" s="43" t="n">
        <v>100000</v>
      </c>
      <c r="D88" s="43" t="n">
        <v>150000</v>
      </c>
      <c r="E88" s="43" t="n">
        <v>220000</v>
      </c>
      <c r="F88" s="2"/>
    </row>
    <row r="89" customFormat="false" ht="15" hidden="false" customHeight="false" outlineLevel="0" collapsed="false">
      <c r="A89" s="6" t="s">
        <v>251</v>
      </c>
      <c r="B89" s="7" t="s">
        <v>169</v>
      </c>
      <c r="C89" s="43" t="n">
        <v>200</v>
      </c>
      <c r="D89" s="43" t="n">
        <v>250</v>
      </c>
      <c r="E89" s="43" t="n">
        <v>300</v>
      </c>
      <c r="F89" s="2"/>
    </row>
    <row r="90" customFormat="false" ht="15" hidden="false" customHeight="false" outlineLevel="0" collapsed="false">
      <c r="A90" s="6" t="s">
        <v>252</v>
      </c>
      <c r="B90" s="7" t="s">
        <v>250</v>
      </c>
      <c r="C90" s="43" t="n">
        <v>40000</v>
      </c>
      <c r="D90" s="43" t="n">
        <v>60000</v>
      </c>
      <c r="E90" s="43" t="n">
        <v>90000</v>
      </c>
      <c r="F90" s="42" t="s">
        <v>253</v>
      </c>
    </row>
    <row r="91" customFormat="false" ht="15" hidden="false" customHeight="false" outlineLevel="0" collapsed="false">
      <c r="A91" s="6" t="s">
        <v>254</v>
      </c>
      <c r="B91" s="7" t="s">
        <v>169</v>
      </c>
      <c r="C91" s="43" t="n">
        <v>450</v>
      </c>
      <c r="D91" s="43" t="n">
        <v>550</v>
      </c>
      <c r="E91" s="43" t="n">
        <v>650</v>
      </c>
      <c r="F91" s="2"/>
    </row>
    <row r="92" customFormat="false" ht="15" hidden="false" customHeight="false" outlineLevel="0" collapsed="false">
      <c r="A92" s="6" t="s">
        <v>255</v>
      </c>
      <c r="B92" s="7" t="s">
        <v>256</v>
      </c>
      <c r="C92" s="43" t="n">
        <v>120</v>
      </c>
      <c r="D92" s="43" t="n">
        <v>200</v>
      </c>
      <c r="E92" s="43" t="n">
        <v>300</v>
      </c>
      <c r="F92" s="2"/>
    </row>
    <row r="93" customFormat="false" ht="15" hidden="false" customHeight="false" outlineLevel="0" collapsed="false">
      <c r="A93" s="6" t="s">
        <v>257</v>
      </c>
      <c r="B93" s="7" t="s">
        <v>169</v>
      </c>
      <c r="C93" s="43" t="n">
        <v>180000</v>
      </c>
      <c r="D93" s="43" t="n">
        <v>250000</v>
      </c>
      <c r="E93" s="43" t="n">
        <v>320000</v>
      </c>
      <c r="F93" s="2"/>
    </row>
    <row r="94" customFormat="false" ht="15" hidden="false" customHeight="false" outlineLevel="0" collapsed="false">
      <c r="A94" s="6" t="s">
        <v>258</v>
      </c>
      <c r="B94" s="7" t="s">
        <v>259</v>
      </c>
      <c r="C94" s="43" t="n">
        <v>40</v>
      </c>
      <c r="D94" s="43" t="n">
        <v>60</v>
      </c>
      <c r="E94" s="43" t="n">
        <v>80</v>
      </c>
      <c r="F94" s="2"/>
    </row>
    <row r="95" customFormat="false" ht="15" hidden="false" customHeight="false" outlineLevel="0" collapsed="false">
      <c r="A95" s="6" t="s">
        <v>260</v>
      </c>
      <c r="B95" s="7" t="s">
        <v>169</v>
      </c>
      <c r="C95" s="43" t="n">
        <v>120000</v>
      </c>
      <c r="D95" s="43" t="n">
        <v>150000</v>
      </c>
      <c r="E95" s="43" t="n">
        <v>180000</v>
      </c>
      <c r="F95" s="2"/>
    </row>
    <row r="96" customFormat="false" ht="15" hidden="false" customHeight="false" outlineLevel="0" collapsed="false">
      <c r="A96" s="6" t="s">
        <v>261</v>
      </c>
      <c r="B96" s="7" t="s">
        <v>16</v>
      </c>
      <c r="C96" s="43" t="n">
        <v>10</v>
      </c>
      <c r="D96" s="43" t="n">
        <v>20</v>
      </c>
      <c r="E96" s="43" t="n">
        <v>30</v>
      </c>
      <c r="F96" s="2"/>
    </row>
    <row r="97" customFormat="false" ht="15" hidden="false" customHeight="false" outlineLevel="0" collapsed="false">
      <c r="A97" s="6" t="s">
        <v>112</v>
      </c>
      <c r="B97" s="7" t="s">
        <v>16</v>
      </c>
      <c r="C97" s="43" t="n">
        <v>8</v>
      </c>
      <c r="D97" s="43" t="n">
        <v>15</v>
      </c>
      <c r="E97" s="43" t="n">
        <v>25</v>
      </c>
      <c r="F97" s="2"/>
    </row>
    <row r="98" customFormat="false" ht="15" hidden="false" customHeight="false" outlineLevel="0" collapsed="false">
      <c r="A98" s="6" t="s">
        <v>262</v>
      </c>
      <c r="B98" s="7" t="s">
        <v>16</v>
      </c>
      <c r="C98" s="43" t="n">
        <v>6</v>
      </c>
      <c r="D98" s="43" t="n">
        <v>10</v>
      </c>
      <c r="E98" s="43" t="n">
        <v>15</v>
      </c>
      <c r="F98" s="2"/>
    </row>
    <row r="99" customFormat="false" ht="15" hidden="false" customHeight="false" outlineLevel="0" collapsed="false">
      <c r="A99" s="6" t="s">
        <v>263</v>
      </c>
      <c r="B99" s="7" t="s">
        <v>16</v>
      </c>
      <c r="C99" s="43" t="n">
        <v>1</v>
      </c>
      <c r="D99" s="43" t="n">
        <v>2</v>
      </c>
      <c r="E99" s="43" t="n">
        <v>3</v>
      </c>
      <c r="F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5" hidden="false" customHeight="false" outlineLevel="0" collapsed="false">
      <c r="A101" s="39" t="s">
        <v>73</v>
      </c>
      <c r="B101" s="40"/>
      <c r="C101" s="40"/>
      <c r="D101" s="40"/>
      <c r="E101" s="40"/>
      <c r="F101" s="40"/>
    </row>
    <row r="102" customFormat="false" ht="15" hidden="false" customHeight="false" outlineLevel="0" collapsed="false">
      <c r="A102" s="6" t="s">
        <v>264</v>
      </c>
      <c r="B102" s="7" t="s">
        <v>265</v>
      </c>
      <c r="C102" s="43" t="n">
        <v>386084</v>
      </c>
      <c r="D102" s="43" t="n">
        <v>386084</v>
      </c>
      <c r="E102" s="43" t="n">
        <v>386084</v>
      </c>
      <c r="F102" s="42" t="s">
        <v>210</v>
      </c>
    </row>
    <row r="103" customFormat="false" ht="15" hidden="false" customHeight="false" outlineLevel="0" collapsed="false">
      <c r="A103" s="6" t="s">
        <v>266</v>
      </c>
      <c r="B103" s="7" t="s">
        <v>23</v>
      </c>
      <c r="C103" s="44" t="n">
        <v>0.62</v>
      </c>
      <c r="D103" s="44" t="n">
        <v>0.65</v>
      </c>
      <c r="E103" s="44" t="n">
        <v>0.68</v>
      </c>
      <c r="F103" s="42" t="s">
        <v>267</v>
      </c>
    </row>
    <row r="104" customFormat="false" ht="15" hidden="false" customHeight="false" outlineLevel="0" collapsed="false">
      <c r="A104" s="6" t="s">
        <v>268</v>
      </c>
      <c r="B104" s="7" t="s">
        <v>23</v>
      </c>
      <c r="C104" s="44" t="n">
        <v>0.3</v>
      </c>
      <c r="D104" s="44" t="n">
        <v>0.3</v>
      </c>
      <c r="E104" s="44" t="n">
        <v>0.3</v>
      </c>
      <c r="F104" s="42" t="s">
        <v>269</v>
      </c>
    </row>
    <row r="105" customFormat="false" ht="15" hidden="false" customHeight="false" outlineLevel="0" collapsed="false">
      <c r="A105" s="6" t="s">
        <v>270</v>
      </c>
      <c r="B105" s="7" t="s">
        <v>271</v>
      </c>
      <c r="C105" s="43" t="n">
        <v>600</v>
      </c>
      <c r="D105" s="43" t="n">
        <v>750</v>
      </c>
      <c r="E105" s="43" t="n">
        <v>900</v>
      </c>
      <c r="F105" s="42" t="s">
        <v>272</v>
      </c>
    </row>
    <row r="106" customFormat="false" ht="15" hidden="false" customHeight="false" outlineLevel="0" collapsed="false">
      <c r="A106" s="6" t="s">
        <v>273</v>
      </c>
      <c r="B106" s="7" t="s">
        <v>23</v>
      </c>
      <c r="C106" s="44" t="n">
        <v>0.2</v>
      </c>
      <c r="D106" s="44" t="n">
        <v>0.2</v>
      </c>
      <c r="E106" s="44" t="n">
        <v>0.2</v>
      </c>
      <c r="F106" s="42" t="s">
        <v>269</v>
      </c>
    </row>
    <row r="107" customFormat="false" ht="15" hidden="false" customHeight="false" outlineLevel="0" collapsed="false">
      <c r="A107" s="6" t="s">
        <v>274</v>
      </c>
      <c r="B107" s="7" t="s">
        <v>271</v>
      </c>
      <c r="C107" s="43" t="n">
        <v>450</v>
      </c>
      <c r="D107" s="43" t="n">
        <v>550</v>
      </c>
      <c r="E107" s="43" t="n">
        <v>650</v>
      </c>
      <c r="F107" s="42" t="s">
        <v>272</v>
      </c>
    </row>
    <row r="108" customFormat="false" ht="15" hidden="false" customHeight="false" outlineLevel="0" collapsed="false">
      <c r="A108" s="6" t="s">
        <v>275</v>
      </c>
      <c r="B108" s="7" t="s">
        <v>23</v>
      </c>
      <c r="C108" s="44" t="n">
        <v>0.1</v>
      </c>
      <c r="D108" s="44" t="n">
        <v>0.1</v>
      </c>
      <c r="E108" s="44" t="n">
        <v>0.1</v>
      </c>
      <c r="F108" s="42" t="s">
        <v>269</v>
      </c>
    </row>
    <row r="109" customFormat="false" ht="15" hidden="false" customHeight="false" outlineLevel="0" collapsed="false">
      <c r="A109" s="6" t="s">
        <v>276</v>
      </c>
      <c r="B109" s="7" t="s">
        <v>271</v>
      </c>
      <c r="C109" s="43" t="n">
        <v>200</v>
      </c>
      <c r="D109" s="43" t="n">
        <v>250</v>
      </c>
      <c r="E109" s="43" t="n">
        <v>300</v>
      </c>
      <c r="F109" s="42" t="s">
        <v>272</v>
      </c>
    </row>
    <row r="110" customFormat="false" ht="15" hidden="false" customHeight="false" outlineLevel="0" collapsed="false">
      <c r="A110" s="6" t="s">
        <v>277</v>
      </c>
      <c r="B110" s="7" t="s">
        <v>23</v>
      </c>
      <c r="C110" s="44" t="n">
        <v>0.1</v>
      </c>
      <c r="D110" s="44" t="n">
        <v>0.1</v>
      </c>
      <c r="E110" s="44" t="n">
        <v>0.1</v>
      </c>
      <c r="F110" s="42" t="s">
        <v>269</v>
      </c>
    </row>
    <row r="111" customFormat="false" ht="15" hidden="false" customHeight="false" outlineLevel="0" collapsed="false">
      <c r="A111" s="6" t="s">
        <v>278</v>
      </c>
      <c r="B111" s="7" t="s">
        <v>271</v>
      </c>
      <c r="C111" s="43" t="n">
        <v>250</v>
      </c>
      <c r="D111" s="43" t="n">
        <v>300</v>
      </c>
      <c r="E111" s="43" t="n">
        <v>350</v>
      </c>
      <c r="F111" s="42" t="s">
        <v>272</v>
      </c>
    </row>
    <row r="112" customFormat="false" ht="15" hidden="false" customHeight="false" outlineLevel="0" collapsed="false">
      <c r="A112" s="6" t="s">
        <v>279</v>
      </c>
      <c r="B112" s="7" t="s">
        <v>23</v>
      </c>
      <c r="C112" s="44" t="n">
        <v>0.1</v>
      </c>
      <c r="D112" s="44" t="n">
        <v>0.1</v>
      </c>
      <c r="E112" s="44" t="n">
        <v>0.1</v>
      </c>
      <c r="F112" s="42" t="s">
        <v>269</v>
      </c>
    </row>
    <row r="113" customFormat="false" ht="15" hidden="false" customHeight="false" outlineLevel="0" collapsed="false">
      <c r="A113" s="6" t="s">
        <v>280</v>
      </c>
      <c r="B113" s="7" t="s">
        <v>271</v>
      </c>
      <c r="C113" s="43" t="n">
        <v>280</v>
      </c>
      <c r="D113" s="43" t="n">
        <v>350</v>
      </c>
      <c r="E113" s="43" t="n">
        <v>420</v>
      </c>
      <c r="F113" s="42" t="s">
        <v>272</v>
      </c>
    </row>
    <row r="114" customFormat="false" ht="15" hidden="false" customHeight="false" outlineLevel="0" collapsed="false">
      <c r="A114" s="6" t="s">
        <v>281</v>
      </c>
      <c r="B114" s="7" t="s">
        <v>23</v>
      </c>
      <c r="C114" s="44" t="n">
        <v>0.2</v>
      </c>
      <c r="D114" s="44" t="n">
        <v>0.2</v>
      </c>
      <c r="E114" s="44" t="n">
        <v>0.2</v>
      </c>
      <c r="F114" s="42" t="s">
        <v>269</v>
      </c>
    </row>
    <row r="115" customFormat="false" ht="15" hidden="false" customHeight="false" outlineLevel="0" collapsed="false">
      <c r="A115" s="6" t="s">
        <v>282</v>
      </c>
      <c r="B115" s="7" t="s">
        <v>271</v>
      </c>
      <c r="C115" s="43" t="n">
        <v>380</v>
      </c>
      <c r="D115" s="43" t="n">
        <v>450</v>
      </c>
      <c r="E115" s="43" t="n">
        <v>550</v>
      </c>
      <c r="F115" s="42" t="s">
        <v>272</v>
      </c>
    </row>
    <row r="116" customFormat="false" ht="15" hidden="false" customHeight="false" outlineLevel="0" collapsed="false">
      <c r="A116" s="6" t="s">
        <v>283</v>
      </c>
      <c r="B116" s="7" t="s">
        <v>23</v>
      </c>
      <c r="C116" s="44" t="n">
        <v>0.82</v>
      </c>
      <c r="D116" s="44" t="n">
        <v>0.9</v>
      </c>
      <c r="E116" s="44" t="n">
        <v>0.95</v>
      </c>
      <c r="F116" s="2"/>
    </row>
    <row r="117" customFormat="false" ht="15" hidden="false" customHeight="false" outlineLevel="0" collapsed="false">
      <c r="A117" s="6" t="s">
        <v>284</v>
      </c>
      <c r="B117" s="7" t="s">
        <v>23</v>
      </c>
      <c r="C117" s="44" t="n">
        <v>0.05</v>
      </c>
      <c r="D117" s="44" t="n">
        <v>0.08</v>
      </c>
      <c r="E117" s="44" t="n">
        <v>0.1</v>
      </c>
      <c r="F117" s="2"/>
    </row>
    <row r="118" customFormat="false" ht="15" hidden="false" customHeight="false" outlineLevel="0" collapsed="false">
      <c r="A118" s="6" t="s">
        <v>111</v>
      </c>
      <c r="B118" s="7" t="s">
        <v>285</v>
      </c>
      <c r="C118" s="43" t="n">
        <v>30</v>
      </c>
      <c r="D118" s="43" t="n">
        <v>40</v>
      </c>
      <c r="E118" s="43" t="n">
        <v>50</v>
      </c>
      <c r="F118" s="2"/>
    </row>
    <row r="119" customFormat="false" ht="15" hidden="false" customHeight="false" outlineLevel="0" collapsed="false">
      <c r="A119" s="6" t="s">
        <v>286</v>
      </c>
      <c r="B119" s="7" t="s">
        <v>287</v>
      </c>
      <c r="C119" s="43" t="n">
        <v>30000</v>
      </c>
      <c r="D119" s="43" t="n">
        <v>35000</v>
      </c>
      <c r="E119" s="43" t="n">
        <v>40000</v>
      </c>
      <c r="F119" s="2"/>
    </row>
    <row r="120" customFormat="false" ht="15" hidden="false" customHeight="false" outlineLevel="0" collapsed="false">
      <c r="A120" s="6" t="s">
        <v>99</v>
      </c>
      <c r="B120" s="7" t="s">
        <v>16</v>
      </c>
      <c r="C120" s="43" t="n">
        <v>40</v>
      </c>
      <c r="D120" s="43" t="n">
        <v>60</v>
      </c>
      <c r="E120" s="43" t="n">
        <v>90</v>
      </c>
      <c r="F120" s="2"/>
    </row>
    <row r="121" customFormat="false" ht="15" hidden="false" customHeight="false" outlineLevel="0" collapsed="false">
      <c r="A121" s="6" t="s">
        <v>288</v>
      </c>
      <c r="B121" s="7" t="s">
        <v>16</v>
      </c>
      <c r="C121" s="43" t="n">
        <v>25</v>
      </c>
      <c r="D121" s="43" t="n">
        <v>40</v>
      </c>
      <c r="E121" s="43" t="n">
        <v>60</v>
      </c>
      <c r="F121" s="42" t="s">
        <v>289</v>
      </c>
    </row>
    <row r="122" customFormat="false" ht="15" hidden="false" customHeight="false" outlineLevel="0" collapsed="false">
      <c r="A122" s="6" t="s">
        <v>82</v>
      </c>
      <c r="B122" s="7" t="s">
        <v>271</v>
      </c>
      <c r="C122" s="43" t="n">
        <v>75</v>
      </c>
      <c r="D122" s="43" t="n">
        <v>85</v>
      </c>
      <c r="E122" s="43" t="n">
        <v>95</v>
      </c>
      <c r="F122" s="42" t="s">
        <v>290</v>
      </c>
    </row>
    <row r="123" customFormat="false" ht="15" hidden="false" customHeight="false" outlineLevel="0" collapsed="false">
      <c r="A123" s="6" t="s">
        <v>291</v>
      </c>
      <c r="B123" s="7" t="s">
        <v>292</v>
      </c>
      <c r="C123" s="43" t="n">
        <v>5688</v>
      </c>
      <c r="D123" s="43" t="n">
        <v>5688</v>
      </c>
      <c r="E123" s="43" t="n">
        <v>5688</v>
      </c>
      <c r="F123" s="42" t="s">
        <v>210</v>
      </c>
    </row>
    <row r="124" customFormat="false" ht="15" hidden="false" customHeight="false" outlineLevel="0" collapsed="false">
      <c r="A124" s="6" t="s">
        <v>293</v>
      </c>
      <c r="B124" s="7" t="s">
        <v>23</v>
      </c>
      <c r="C124" s="44" t="n">
        <v>0.35</v>
      </c>
      <c r="D124" s="44" t="n">
        <v>0.45</v>
      </c>
      <c r="E124" s="44" t="n">
        <v>0.55</v>
      </c>
      <c r="F124" s="2"/>
    </row>
    <row r="125" customFormat="false" ht="15" hidden="false" customHeight="false" outlineLevel="0" collapsed="false">
      <c r="A125" s="6" t="s">
        <v>294</v>
      </c>
      <c r="B125" s="7" t="s">
        <v>295</v>
      </c>
      <c r="C125" s="46" t="n">
        <v>1.8</v>
      </c>
      <c r="D125" s="46" t="n">
        <v>2</v>
      </c>
      <c r="E125" s="46" t="n">
        <v>2.4</v>
      </c>
      <c r="F125" s="2"/>
    </row>
    <row r="126" customFormat="false" ht="15" hidden="false" customHeight="false" outlineLevel="0" collapsed="false">
      <c r="A126" s="6" t="s">
        <v>296</v>
      </c>
      <c r="B126" s="7" t="s">
        <v>169</v>
      </c>
      <c r="C126" s="43" t="n">
        <v>60</v>
      </c>
      <c r="D126" s="43" t="n">
        <v>80</v>
      </c>
      <c r="E126" s="43" t="n">
        <v>100</v>
      </c>
      <c r="F126" s="2"/>
    </row>
    <row r="127" customFormat="false" ht="15" hidden="false" customHeight="false" outlineLevel="0" collapsed="false">
      <c r="A127" s="6" t="s">
        <v>297</v>
      </c>
      <c r="B127" s="7" t="s">
        <v>298</v>
      </c>
      <c r="C127" s="43" t="n">
        <v>80</v>
      </c>
      <c r="D127" s="43" t="n">
        <v>120</v>
      </c>
      <c r="E127" s="43" t="n">
        <v>160</v>
      </c>
      <c r="F127" s="2"/>
    </row>
    <row r="128" customFormat="false" ht="15" hidden="false" customHeight="false" outlineLevel="0" collapsed="false">
      <c r="A128" s="6" t="s">
        <v>299</v>
      </c>
      <c r="B128" s="7" t="s">
        <v>300</v>
      </c>
      <c r="C128" s="43" t="n">
        <v>35</v>
      </c>
      <c r="D128" s="43" t="n">
        <v>40</v>
      </c>
      <c r="E128" s="43" t="n">
        <v>45</v>
      </c>
      <c r="F128" s="2"/>
    </row>
    <row r="129" customFormat="false" ht="15" hidden="false" customHeight="false" outlineLevel="0" collapsed="false">
      <c r="A129" s="6" t="s">
        <v>301</v>
      </c>
      <c r="B129" s="7" t="s">
        <v>302</v>
      </c>
      <c r="C129" s="41" t="n">
        <v>6</v>
      </c>
      <c r="D129" s="41" t="n">
        <v>6.5</v>
      </c>
      <c r="E129" s="41" t="n">
        <v>7</v>
      </c>
      <c r="F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</row>
    <row r="131" customFormat="false" ht="15" hidden="false" customHeight="false" outlineLevel="0" collapsed="false">
      <c r="A131" s="39" t="s">
        <v>31</v>
      </c>
      <c r="B131" s="40"/>
      <c r="C131" s="40"/>
      <c r="D131" s="40"/>
      <c r="E131" s="40"/>
      <c r="F131" s="40"/>
    </row>
    <row r="132" customFormat="false" ht="15" hidden="false" customHeight="false" outlineLevel="0" collapsed="false">
      <c r="A132" s="6" t="s">
        <v>303</v>
      </c>
      <c r="B132" s="7" t="s">
        <v>304</v>
      </c>
      <c r="C132" s="43" t="n">
        <v>1850</v>
      </c>
      <c r="D132" s="43" t="n">
        <v>1900</v>
      </c>
      <c r="E132" s="43" t="n">
        <v>2000</v>
      </c>
      <c r="F132" s="42" t="s">
        <v>305</v>
      </c>
    </row>
    <row r="133" customFormat="false" ht="15" hidden="false" customHeight="false" outlineLevel="0" collapsed="false">
      <c r="A133" s="6" t="s">
        <v>306</v>
      </c>
      <c r="B133" s="7" t="s">
        <v>23</v>
      </c>
      <c r="C133" s="44" t="n">
        <v>0.09</v>
      </c>
      <c r="D133" s="44" t="n">
        <v>0.08</v>
      </c>
      <c r="E133" s="44" t="n">
        <v>0.07</v>
      </c>
      <c r="F133" s="42" t="s">
        <v>307</v>
      </c>
    </row>
    <row r="134" customFormat="false" ht="15" hidden="false" customHeight="false" outlineLevel="0" collapsed="false">
      <c r="A134" s="6" t="s">
        <v>308</v>
      </c>
      <c r="B134" s="7" t="s">
        <v>23</v>
      </c>
      <c r="C134" s="44" t="n">
        <v>0.04</v>
      </c>
      <c r="D134" s="44" t="n">
        <v>0.03</v>
      </c>
      <c r="E134" s="44" t="n">
        <v>0.02</v>
      </c>
      <c r="F134" s="42" t="s">
        <v>307</v>
      </c>
    </row>
    <row r="135" customFormat="false" ht="15" hidden="false" customHeight="false" outlineLevel="0" collapsed="false">
      <c r="A135" s="6" t="s">
        <v>309</v>
      </c>
      <c r="B135" s="7" t="s">
        <v>23</v>
      </c>
      <c r="C135" s="44" t="n">
        <v>0.09</v>
      </c>
      <c r="D135" s="44" t="n">
        <v>0.07</v>
      </c>
      <c r="E135" s="44" t="n">
        <v>0.05</v>
      </c>
      <c r="F135" s="42" t="s">
        <v>307</v>
      </c>
    </row>
    <row r="136" customFormat="false" ht="15" hidden="false" customHeight="false" outlineLevel="0" collapsed="false">
      <c r="A136" s="6" t="s">
        <v>310</v>
      </c>
      <c r="B136" s="7" t="s">
        <v>23</v>
      </c>
      <c r="C136" s="44" t="n">
        <v>0.025</v>
      </c>
      <c r="D136" s="44" t="n">
        <v>0.025</v>
      </c>
      <c r="E136" s="44" t="n">
        <v>0.02</v>
      </c>
      <c r="F136" s="42" t="s">
        <v>307</v>
      </c>
    </row>
    <row r="137" customFormat="false" ht="15" hidden="false" customHeight="false" outlineLevel="0" collapsed="false">
      <c r="A137" s="6" t="s">
        <v>311</v>
      </c>
      <c r="B137" s="7" t="s">
        <v>23</v>
      </c>
      <c r="C137" s="44" t="n">
        <v>0.025</v>
      </c>
      <c r="D137" s="44" t="n">
        <v>0.02</v>
      </c>
      <c r="E137" s="44" t="n">
        <v>0.015</v>
      </c>
      <c r="F137" s="42" t="s">
        <v>307</v>
      </c>
    </row>
    <row r="138" customFormat="false" ht="15" hidden="false" customHeight="false" outlineLevel="0" collapsed="false">
      <c r="A138" s="6" t="s">
        <v>312</v>
      </c>
      <c r="B138" s="7" t="s">
        <v>23</v>
      </c>
      <c r="C138" s="44" t="n">
        <v>0.02</v>
      </c>
      <c r="D138" s="44" t="n">
        <v>0.02</v>
      </c>
      <c r="E138" s="44" t="n">
        <v>0.015</v>
      </c>
      <c r="F138" s="42" t="s">
        <v>307</v>
      </c>
    </row>
    <row r="139" customFormat="false" ht="15" hidden="false" customHeight="false" outlineLevel="0" collapsed="false">
      <c r="A139" s="6" t="s">
        <v>313</v>
      </c>
      <c r="B139" s="7" t="s">
        <v>23</v>
      </c>
      <c r="C139" s="44" t="n">
        <v>0.015</v>
      </c>
      <c r="D139" s="44" t="n">
        <v>0.01</v>
      </c>
      <c r="E139" s="44" t="n">
        <v>0.005</v>
      </c>
      <c r="F139" s="42" t="s">
        <v>307</v>
      </c>
    </row>
    <row r="140" customFormat="false" ht="15" hidden="false" customHeight="false" outlineLevel="0" collapsed="false">
      <c r="A140" s="6" t="s">
        <v>314</v>
      </c>
      <c r="B140" s="7" t="s">
        <v>265</v>
      </c>
      <c r="C140" s="43" t="n">
        <v>48073</v>
      </c>
      <c r="D140" s="43" t="n">
        <v>48073</v>
      </c>
      <c r="E140" s="43" t="n">
        <v>48073</v>
      </c>
      <c r="F140" s="42" t="s">
        <v>210</v>
      </c>
    </row>
    <row r="141" customFormat="false" ht="15" hidden="false" customHeight="false" outlineLevel="0" collapsed="false">
      <c r="A141" s="6" t="s">
        <v>315</v>
      </c>
      <c r="B141" s="7" t="s">
        <v>265</v>
      </c>
      <c r="C141" s="43" t="n">
        <v>4900</v>
      </c>
      <c r="D141" s="43" t="n">
        <v>4900</v>
      </c>
      <c r="E141" s="43" t="n">
        <v>4900</v>
      </c>
      <c r="F141" s="42" t="s">
        <v>210</v>
      </c>
    </row>
    <row r="142" customFormat="false" ht="15" hidden="false" customHeight="false" outlineLevel="0" collapsed="false">
      <c r="A142" s="6" t="s">
        <v>316</v>
      </c>
      <c r="B142" s="7" t="s">
        <v>265</v>
      </c>
      <c r="C142" s="43" t="n">
        <v>29798</v>
      </c>
      <c r="D142" s="43" t="n">
        <v>29798</v>
      </c>
      <c r="E142" s="43" t="n">
        <v>29798</v>
      </c>
      <c r="F142" s="42" t="s">
        <v>210</v>
      </c>
    </row>
    <row r="143" customFormat="false" ht="15" hidden="false" customHeight="false" outlineLevel="0" collapsed="false">
      <c r="A143" s="6" t="s">
        <v>317</v>
      </c>
      <c r="B143" s="7" t="s">
        <v>318</v>
      </c>
      <c r="C143" s="47" t="n">
        <v>0.17</v>
      </c>
      <c r="D143" s="47" t="n">
        <v>0.18</v>
      </c>
      <c r="E143" s="47" t="n">
        <v>0.19</v>
      </c>
      <c r="F143" s="42" t="s">
        <v>319</v>
      </c>
    </row>
    <row r="144" customFormat="false" ht="15" hidden="false" customHeight="false" outlineLevel="0" collapsed="false">
      <c r="A144" s="6" t="s">
        <v>320</v>
      </c>
      <c r="B144" s="7" t="s">
        <v>318</v>
      </c>
      <c r="C144" s="47" t="n">
        <v>0.12</v>
      </c>
      <c r="D144" s="47" t="n">
        <v>0.12</v>
      </c>
      <c r="E144" s="47" t="n">
        <v>0.12</v>
      </c>
      <c r="F144" s="42" t="s">
        <v>321</v>
      </c>
    </row>
    <row r="145" customFormat="false" ht="15" hidden="false" customHeight="false" outlineLevel="0" collapsed="false">
      <c r="A145" s="6" t="s">
        <v>322</v>
      </c>
      <c r="B145" s="7" t="s">
        <v>23</v>
      </c>
      <c r="C145" s="44" t="n">
        <v>0.36</v>
      </c>
      <c r="D145" s="44" t="n">
        <v>0.38</v>
      </c>
      <c r="E145" s="44" t="n">
        <v>0.4</v>
      </c>
      <c r="F145" s="42" t="s">
        <v>323</v>
      </c>
    </row>
    <row r="146" customFormat="false" ht="15" hidden="false" customHeight="false" outlineLevel="0" collapsed="false">
      <c r="A146" s="6" t="s">
        <v>324</v>
      </c>
      <c r="B146" s="7" t="s">
        <v>160</v>
      </c>
      <c r="C146" s="48" t="n">
        <v>0.005</v>
      </c>
      <c r="D146" s="48" t="n">
        <v>0.005</v>
      </c>
      <c r="E146" s="48" t="n">
        <v>0.005</v>
      </c>
      <c r="F146" s="42" t="s">
        <v>325</v>
      </c>
    </row>
    <row r="147" customFormat="false" ht="15" hidden="false" customHeight="false" outlineLevel="0" collapsed="false">
      <c r="A147" s="6" t="s">
        <v>326</v>
      </c>
      <c r="B147" s="7" t="s">
        <v>327</v>
      </c>
      <c r="C147" s="43" t="n">
        <v>700</v>
      </c>
      <c r="D147" s="43" t="n">
        <v>650</v>
      </c>
      <c r="E147" s="43" t="n">
        <v>600</v>
      </c>
      <c r="F147" s="2"/>
    </row>
    <row r="148" customFormat="false" ht="15" hidden="false" customHeight="false" outlineLevel="0" collapsed="false">
      <c r="A148" s="6" t="s">
        <v>328</v>
      </c>
      <c r="B148" s="7" t="s">
        <v>329</v>
      </c>
      <c r="C148" s="43" t="n">
        <v>60</v>
      </c>
      <c r="D148" s="43" t="n">
        <v>50</v>
      </c>
      <c r="E148" s="43" t="n">
        <v>45</v>
      </c>
      <c r="F148" s="42" t="s">
        <v>330</v>
      </c>
    </row>
    <row r="149" customFormat="false" ht="15" hidden="false" customHeight="false" outlineLevel="0" collapsed="false">
      <c r="A149" s="6" t="s">
        <v>331</v>
      </c>
      <c r="B149" s="7" t="s">
        <v>304</v>
      </c>
      <c r="C149" s="43" t="n">
        <v>135</v>
      </c>
      <c r="D149" s="43" t="n">
        <v>115</v>
      </c>
      <c r="E149" s="43" t="n">
        <v>100</v>
      </c>
      <c r="F149" s="42" t="s">
        <v>332</v>
      </c>
    </row>
    <row r="150" customFormat="false" ht="15" hidden="false" customHeight="false" outlineLevel="0" collapsed="false">
      <c r="A150" s="6" t="s">
        <v>333</v>
      </c>
      <c r="B150" s="7" t="s">
        <v>304</v>
      </c>
      <c r="C150" s="43" t="n">
        <v>12</v>
      </c>
      <c r="D150" s="43" t="n">
        <v>11</v>
      </c>
      <c r="E150" s="43" t="n">
        <v>10</v>
      </c>
      <c r="F150" s="42" t="s">
        <v>334</v>
      </c>
    </row>
    <row r="151" customFormat="false" ht="15" hidden="false" customHeight="false" outlineLevel="0" collapsed="false">
      <c r="A151" s="6" t="s">
        <v>335</v>
      </c>
      <c r="B151" s="7" t="s">
        <v>265</v>
      </c>
      <c r="C151" s="43" t="n">
        <v>349027</v>
      </c>
      <c r="D151" s="43" t="n">
        <v>349027</v>
      </c>
      <c r="E151" s="43" t="n">
        <v>349027</v>
      </c>
      <c r="F151" s="42" t="s">
        <v>210</v>
      </c>
    </row>
    <row r="152" customFormat="false" ht="15" hidden="false" customHeight="false" outlineLevel="0" collapsed="false">
      <c r="A152" s="6" t="s">
        <v>336</v>
      </c>
      <c r="B152" s="7" t="s">
        <v>23</v>
      </c>
      <c r="C152" s="44" t="n">
        <v>0.65</v>
      </c>
      <c r="D152" s="44" t="n">
        <v>0.65</v>
      </c>
      <c r="E152" s="44" t="n">
        <v>0.65</v>
      </c>
      <c r="F152" s="42" t="s">
        <v>337</v>
      </c>
    </row>
    <row r="153" customFormat="false" ht="15" hidden="false" customHeight="false" outlineLevel="0" collapsed="false">
      <c r="A153" s="6" t="s">
        <v>338</v>
      </c>
      <c r="B153" s="7" t="s">
        <v>302</v>
      </c>
      <c r="C153" s="41" t="n">
        <v>3.1</v>
      </c>
      <c r="D153" s="41" t="n">
        <v>2.8</v>
      </c>
      <c r="E153" s="41" t="n">
        <v>2.5</v>
      </c>
      <c r="F153" s="42" t="s">
        <v>339</v>
      </c>
    </row>
    <row r="154" customFormat="false" ht="15" hidden="false" customHeight="false" outlineLevel="0" collapsed="false">
      <c r="A154" s="6" t="s">
        <v>340</v>
      </c>
      <c r="B154" s="7" t="s">
        <v>341</v>
      </c>
      <c r="C154" s="43" t="n">
        <v>200</v>
      </c>
      <c r="D154" s="43" t="n">
        <v>300</v>
      </c>
      <c r="E154" s="43" t="n">
        <v>400</v>
      </c>
      <c r="F154" s="42" t="s">
        <v>342</v>
      </c>
    </row>
    <row r="155" customFormat="false" ht="15" hidden="false" customHeight="false" outlineLevel="0" collapsed="false">
      <c r="A155" s="6" t="s">
        <v>343</v>
      </c>
      <c r="B155" s="7" t="s">
        <v>344</v>
      </c>
      <c r="C155" s="47" t="n">
        <v>0.438</v>
      </c>
      <c r="D155" s="47" t="n">
        <v>0.438</v>
      </c>
      <c r="E155" s="47" t="n">
        <v>0.438</v>
      </c>
      <c r="F155" s="42" t="s">
        <v>345</v>
      </c>
    </row>
    <row r="156" customFormat="false" ht="15" hidden="false" customHeight="false" outlineLevel="0" collapsed="false">
      <c r="A156" s="6" t="s">
        <v>346</v>
      </c>
      <c r="B156" s="7" t="s">
        <v>347</v>
      </c>
      <c r="C156" s="43" t="n">
        <v>6200</v>
      </c>
      <c r="D156" s="43" t="n">
        <v>6200</v>
      </c>
      <c r="E156" s="43" t="n">
        <v>6200</v>
      </c>
      <c r="F156" s="42" t="s">
        <v>348</v>
      </c>
    </row>
    <row r="157" customFormat="false" ht="15" hidden="false" customHeight="false" outlineLevel="0" collapsed="false">
      <c r="A157" s="6" t="s">
        <v>349</v>
      </c>
      <c r="B157" s="7" t="s">
        <v>350</v>
      </c>
      <c r="C157" s="43" t="n">
        <v>4200</v>
      </c>
      <c r="D157" s="43" t="n">
        <v>4200</v>
      </c>
      <c r="E157" s="43" t="n">
        <v>4200</v>
      </c>
      <c r="F157" s="42" t="s">
        <v>351</v>
      </c>
    </row>
    <row r="158" customFormat="false" ht="15" hidden="false" customHeight="false" outlineLevel="0" collapsed="false">
      <c r="A158" s="6" t="s">
        <v>352</v>
      </c>
      <c r="B158" s="7" t="s">
        <v>350</v>
      </c>
      <c r="C158" s="43" t="n">
        <v>16500</v>
      </c>
      <c r="D158" s="43" t="n">
        <v>16500</v>
      </c>
      <c r="E158" s="43" t="n">
        <v>16500</v>
      </c>
      <c r="F158" s="42" t="s">
        <v>351</v>
      </c>
    </row>
    <row r="159" customFormat="false" ht="15" hidden="false" customHeight="false" outlineLevel="0" collapsed="false">
      <c r="A159" s="6" t="s">
        <v>353</v>
      </c>
      <c r="B159" s="7" t="s">
        <v>347</v>
      </c>
      <c r="C159" s="43" t="n">
        <v>7000</v>
      </c>
      <c r="D159" s="43" t="n">
        <v>7000</v>
      </c>
      <c r="E159" s="43" t="n">
        <v>7000</v>
      </c>
      <c r="F159" s="42" t="s">
        <v>354</v>
      </c>
    </row>
    <row r="160" customFormat="false" ht="15" hidden="false" customHeight="false" outlineLevel="0" collapsed="false">
      <c r="A160" s="6" t="s">
        <v>355</v>
      </c>
      <c r="B160" s="7" t="s">
        <v>350</v>
      </c>
      <c r="C160" s="43" t="n">
        <v>5200</v>
      </c>
      <c r="D160" s="43" t="n">
        <v>5200</v>
      </c>
      <c r="E160" s="43" t="n">
        <v>5200</v>
      </c>
      <c r="F160" s="42" t="s">
        <v>351</v>
      </c>
    </row>
    <row r="161" customFormat="false" ht="15" hidden="false" customHeight="false" outlineLevel="0" collapsed="false">
      <c r="A161" s="6" t="s">
        <v>356</v>
      </c>
      <c r="B161" s="7" t="s">
        <v>347</v>
      </c>
      <c r="C161" s="43" t="n">
        <v>15500</v>
      </c>
      <c r="D161" s="43" t="n">
        <v>15500</v>
      </c>
      <c r="E161" s="43" t="n">
        <v>15500</v>
      </c>
      <c r="F161" s="42" t="s">
        <v>348</v>
      </c>
    </row>
    <row r="162" customFormat="false" ht="15" hidden="false" customHeight="false" outlineLevel="0" collapsed="false">
      <c r="A162" s="6" t="s">
        <v>357</v>
      </c>
      <c r="B162" s="7" t="s">
        <v>358</v>
      </c>
      <c r="C162" s="43" t="n">
        <v>300</v>
      </c>
      <c r="D162" s="43" t="n">
        <v>250</v>
      </c>
      <c r="E162" s="43" t="n">
        <v>200</v>
      </c>
      <c r="F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</row>
    <row r="164" customFormat="false" ht="15" hidden="false" customHeight="false" outlineLevel="0" collapsed="false">
      <c r="A164" s="39" t="s">
        <v>359</v>
      </c>
      <c r="B164" s="40"/>
      <c r="C164" s="40"/>
      <c r="D164" s="40"/>
      <c r="E164" s="40"/>
      <c r="F164" s="40"/>
    </row>
    <row r="165" customFormat="false" ht="15" hidden="false" customHeight="false" outlineLevel="0" collapsed="false">
      <c r="A165" s="6" t="s">
        <v>360</v>
      </c>
      <c r="B165" s="7" t="s">
        <v>361</v>
      </c>
      <c r="C165" s="43" t="n">
        <v>1200</v>
      </c>
      <c r="D165" s="43" t="n">
        <v>1100</v>
      </c>
      <c r="E165" s="43" t="n">
        <v>1000</v>
      </c>
      <c r="F165" s="2"/>
    </row>
    <row r="166" customFormat="false" ht="15" hidden="false" customHeight="false" outlineLevel="0" collapsed="false">
      <c r="A166" s="6" t="s">
        <v>362</v>
      </c>
      <c r="B166" s="7" t="s">
        <v>363</v>
      </c>
      <c r="C166" s="43" t="n">
        <v>28000</v>
      </c>
      <c r="D166" s="43" t="n">
        <v>28000</v>
      </c>
      <c r="E166" s="43" t="n">
        <v>28000</v>
      </c>
      <c r="F166" s="2"/>
    </row>
    <row r="167" customFormat="false" ht="15" hidden="false" customHeight="false" outlineLevel="0" collapsed="false">
      <c r="A167" s="6" t="s">
        <v>364</v>
      </c>
      <c r="B167" s="7" t="s">
        <v>365</v>
      </c>
      <c r="C167" s="41" t="n">
        <v>0.6</v>
      </c>
      <c r="D167" s="41" t="n">
        <v>0.55</v>
      </c>
      <c r="E167" s="41" t="n">
        <v>0.5</v>
      </c>
      <c r="F167" s="2"/>
    </row>
    <row r="168" customFormat="false" ht="15" hidden="false" customHeight="false" outlineLevel="0" collapsed="false">
      <c r="A168" s="6" t="s">
        <v>366</v>
      </c>
      <c r="B168" s="7" t="s">
        <v>265</v>
      </c>
      <c r="C168" s="43" t="n">
        <v>55945</v>
      </c>
      <c r="D168" s="43" t="n">
        <v>55945</v>
      </c>
      <c r="E168" s="43" t="n">
        <v>55945</v>
      </c>
      <c r="F168" s="42" t="s">
        <v>210</v>
      </c>
    </row>
    <row r="169" customFormat="false" ht="15" hidden="false" customHeight="false" outlineLevel="0" collapsed="false">
      <c r="A169" s="6" t="s">
        <v>367</v>
      </c>
      <c r="B169" s="7" t="s">
        <v>365</v>
      </c>
      <c r="C169" s="41" t="n">
        <v>0.55</v>
      </c>
      <c r="D169" s="41" t="n">
        <v>0.51</v>
      </c>
      <c r="E169" s="41" t="n">
        <v>0.45</v>
      </c>
      <c r="F169" s="42" t="s">
        <v>368</v>
      </c>
    </row>
    <row r="170" customFormat="false" ht="15" hidden="false" customHeight="false" outlineLevel="0" collapsed="false">
      <c r="A170" s="6" t="s">
        <v>369</v>
      </c>
      <c r="B170" s="7" t="s">
        <v>265</v>
      </c>
      <c r="C170" s="43" t="n">
        <v>97885</v>
      </c>
      <c r="D170" s="43" t="n">
        <v>97885</v>
      </c>
      <c r="E170" s="43" t="n">
        <v>97885</v>
      </c>
      <c r="F170" s="42" t="s">
        <v>210</v>
      </c>
    </row>
    <row r="171" customFormat="false" ht="15" hidden="false" customHeight="false" outlineLevel="0" collapsed="false">
      <c r="A171" s="6" t="s">
        <v>370</v>
      </c>
      <c r="B171" s="7" t="s">
        <v>371</v>
      </c>
      <c r="C171" s="41" t="n">
        <v>0.6</v>
      </c>
      <c r="D171" s="41" t="n">
        <v>0.7</v>
      </c>
      <c r="E171" s="41" t="n">
        <v>0.8</v>
      </c>
      <c r="F171" s="42" t="s">
        <v>372</v>
      </c>
    </row>
    <row r="172" customFormat="false" ht="15" hidden="false" customHeight="false" outlineLevel="0" collapsed="false">
      <c r="A172" s="6" t="s">
        <v>373</v>
      </c>
      <c r="B172" s="7" t="s">
        <v>23</v>
      </c>
      <c r="C172" s="44" t="n">
        <v>0.8</v>
      </c>
      <c r="D172" s="44" t="n">
        <v>0.8</v>
      </c>
      <c r="E172" s="44" t="n">
        <v>0.8</v>
      </c>
      <c r="F172" s="2"/>
    </row>
    <row r="173" customFormat="false" ht="15" hidden="false" customHeight="false" outlineLevel="0" collapsed="false">
      <c r="A173" s="6" t="s">
        <v>374</v>
      </c>
      <c r="B173" s="7" t="s">
        <v>375</v>
      </c>
      <c r="C173" s="44" t="n">
        <v>0.3</v>
      </c>
      <c r="D173" s="44" t="n">
        <v>0.4</v>
      </c>
      <c r="E173" s="44" t="n">
        <v>0.5</v>
      </c>
      <c r="F173" s="42" t="s">
        <v>376</v>
      </c>
    </row>
    <row r="174" customFormat="false" ht="15" hidden="false" customHeight="false" outlineLevel="0" collapsed="false">
      <c r="A174" s="6" t="s">
        <v>377</v>
      </c>
      <c r="B174" s="7" t="s">
        <v>378</v>
      </c>
      <c r="C174" s="43" t="n">
        <v>55</v>
      </c>
      <c r="D174" s="43" t="n">
        <v>45</v>
      </c>
      <c r="E174" s="43" t="n">
        <v>35</v>
      </c>
      <c r="F174" s="42" t="s">
        <v>379</v>
      </c>
    </row>
    <row r="175" customFormat="false" ht="15" hidden="false" customHeight="false" outlineLevel="0" collapsed="false">
      <c r="A175" s="6" t="s">
        <v>380</v>
      </c>
      <c r="B175" s="7" t="s">
        <v>378</v>
      </c>
      <c r="C175" s="43" t="n">
        <v>12</v>
      </c>
      <c r="D175" s="43" t="n">
        <v>10</v>
      </c>
      <c r="E175" s="43" t="n">
        <v>8</v>
      </c>
      <c r="F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</row>
    <row r="177" customFormat="false" ht="15" hidden="false" customHeight="false" outlineLevel="0" collapsed="false">
      <c r="A177" s="39" t="s">
        <v>20</v>
      </c>
      <c r="B177" s="40"/>
      <c r="C177" s="40"/>
      <c r="D177" s="40"/>
      <c r="E177" s="40"/>
      <c r="F177" s="40"/>
    </row>
    <row r="178" customFormat="false" ht="15" hidden="false" customHeight="false" outlineLevel="0" collapsed="false">
      <c r="A178" s="6" t="s">
        <v>381</v>
      </c>
      <c r="B178" s="7" t="s">
        <v>14</v>
      </c>
      <c r="C178" s="43" t="n">
        <v>220</v>
      </c>
      <c r="D178" s="43" t="n">
        <v>180</v>
      </c>
      <c r="E178" s="43" t="n">
        <v>170</v>
      </c>
      <c r="F178" s="2"/>
    </row>
    <row r="179" customFormat="false" ht="15" hidden="false" customHeight="false" outlineLevel="0" collapsed="false">
      <c r="A179" s="6" t="s">
        <v>382</v>
      </c>
      <c r="B179" s="7" t="s">
        <v>169</v>
      </c>
      <c r="C179" s="43" t="n">
        <v>450000</v>
      </c>
      <c r="D179" s="43" t="n">
        <v>420000</v>
      </c>
      <c r="E179" s="43" t="n">
        <v>400000</v>
      </c>
      <c r="F179" s="2"/>
    </row>
    <row r="180" customFormat="false" ht="15" hidden="false" customHeight="false" outlineLevel="0" collapsed="false">
      <c r="A180" s="6" t="s">
        <v>383</v>
      </c>
      <c r="B180" s="7" t="s">
        <v>384</v>
      </c>
      <c r="C180" s="44" t="n">
        <v>0.012</v>
      </c>
      <c r="D180" s="44" t="n">
        <v>0.01</v>
      </c>
      <c r="E180" s="44" t="n">
        <v>0.009</v>
      </c>
      <c r="F180" s="42" t="s">
        <v>385</v>
      </c>
    </row>
    <row r="181" customFormat="false" ht="15" hidden="false" customHeight="false" outlineLevel="0" collapsed="false">
      <c r="A181" s="6" t="s">
        <v>386</v>
      </c>
      <c r="B181" s="7" t="s">
        <v>387</v>
      </c>
      <c r="C181" s="43" t="n">
        <v>368</v>
      </c>
      <c r="D181" s="43" t="n">
        <v>368</v>
      </c>
      <c r="E181" s="43" t="n">
        <v>368</v>
      </c>
      <c r="F181" s="42" t="s">
        <v>388</v>
      </c>
    </row>
    <row r="182" customFormat="false" ht="15" hidden="false" customHeight="false" outlineLevel="0" collapsed="false">
      <c r="A182" s="6" t="s">
        <v>389</v>
      </c>
      <c r="B182" s="7" t="s">
        <v>390</v>
      </c>
      <c r="C182" s="43" t="n">
        <v>70000</v>
      </c>
      <c r="D182" s="43" t="n">
        <v>60000</v>
      </c>
      <c r="E182" s="43" t="n">
        <v>50000</v>
      </c>
      <c r="F182" s="2"/>
    </row>
    <row r="183" customFormat="false" ht="15" hidden="false" customHeight="false" outlineLevel="0" collapsed="false">
      <c r="A183" s="6" t="s">
        <v>391</v>
      </c>
      <c r="B183" s="7" t="s">
        <v>387</v>
      </c>
      <c r="C183" s="43" t="n">
        <v>206</v>
      </c>
      <c r="D183" s="43" t="n">
        <v>206</v>
      </c>
      <c r="E183" s="43" t="n">
        <v>206</v>
      </c>
      <c r="F183" s="42" t="s">
        <v>392</v>
      </c>
    </row>
    <row r="184" customFormat="false" ht="15" hidden="false" customHeight="false" outlineLevel="0" collapsed="false">
      <c r="A184" s="6" t="s">
        <v>393</v>
      </c>
      <c r="B184" s="7" t="s">
        <v>390</v>
      </c>
      <c r="C184" s="43" t="n">
        <v>90000</v>
      </c>
      <c r="D184" s="43" t="n">
        <v>80000</v>
      </c>
      <c r="E184" s="43" t="n">
        <v>70000</v>
      </c>
      <c r="F184" s="2"/>
    </row>
    <row r="185" customFormat="false" ht="15" hidden="false" customHeight="false" outlineLevel="0" collapsed="false">
      <c r="A185" s="6" t="s">
        <v>394</v>
      </c>
      <c r="B185" s="7" t="s">
        <v>16</v>
      </c>
      <c r="C185" s="43" t="n">
        <v>20</v>
      </c>
      <c r="D185" s="43" t="n">
        <v>15</v>
      </c>
      <c r="E185" s="43" t="n">
        <v>12</v>
      </c>
      <c r="F185" s="2"/>
    </row>
    <row r="186" customFormat="false" ht="15" hidden="false" customHeight="false" outlineLevel="0" collapsed="false">
      <c r="A186" s="6" t="s">
        <v>395</v>
      </c>
      <c r="B186" s="7" t="s">
        <v>16</v>
      </c>
      <c r="C186" s="43" t="n">
        <v>30</v>
      </c>
      <c r="D186" s="43" t="n">
        <v>25</v>
      </c>
      <c r="E186" s="43" t="n">
        <v>20</v>
      </c>
      <c r="F186" s="2"/>
    </row>
    <row r="187" customFormat="false" ht="15" hidden="false" customHeight="false" outlineLevel="0" collapsed="false">
      <c r="A187" s="6" t="s">
        <v>396</v>
      </c>
      <c r="B187" s="7" t="s">
        <v>16</v>
      </c>
      <c r="C187" s="43" t="n">
        <v>18</v>
      </c>
      <c r="D187" s="43" t="n">
        <v>15</v>
      </c>
      <c r="E187" s="43" t="n">
        <v>12</v>
      </c>
      <c r="F187" s="2"/>
    </row>
    <row r="188" customFormat="false" ht="15" hidden="false" customHeight="false" outlineLevel="0" collapsed="false">
      <c r="A188" s="6" t="s">
        <v>397</v>
      </c>
      <c r="B188" s="7" t="s">
        <v>16</v>
      </c>
      <c r="C188" s="43" t="n">
        <v>55</v>
      </c>
      <c r="D188" s="43" t="n">
        <v>45</v>
      </c>
      <c r="E188" s="43" t="n">
        <v>40</v>
      </c>
      <c r="F188" s="2"/>
    </row>
    <row r="189" customFormat="false" ht="15" hidden="false" customHeight="false" outlineLevel="0" collapsed="false">
      <c r="A189" s="6" t="s">
        <v>398</v>
      </c>
      <c r="B189" s="7" t="s">
        <v>16</v>
      </c>
      <c r="C189" s="43" t="n">
        <v>30</v>
      </c>
      <c r="D189" s="43" t="n">
        <v>25</v>
      </c>
      <c r="E189" s="43" t="n">
        <v>22</v>
      </c>
      <c r="F189" s="2"/>
    </row>
    <row r="190" customFormat="false" ht="15" hidden="false" customHeight="false" outlineLevel="0" collapsed="false">
      <c r="A190" s="6" t="s">
        <v>399</v>
      </c>
      <c r="B190" s="7" t="s">
        <v>16</v>
      </c>
      <c r="C190" s="43" t="n">
        <v>12</v>
      </c>
      <c r="D190" s="43" t="n">
        <v>10</v>
      </c>
      <c r="E190" s="43" t="n">
        <v>8</v>
      </c>
      <c r="F190" s="2"/>
    </row>
    <row r="191" customFormat="false" ht="15" hidden="false" customHeight="false" outlineLevel="0" collapsed="false">
      <c r="A191" s="6" t="s">
        <v>400</v>
      </c>
      <c r="B191" s="7" t="s">
        <v>16</v>
      </c>
      <c r="C191" s="43" t="n">
        <v>15</v>
      </c>
      <c r="D191" s="43" t="n">
        <v>12</v>
      </c>
      <c r="E191" s="43" t="n">
        <v>10</v>
      </c>
      <c r="F191" s="2"/>
    </row>
    <row r="192" customFormat="false" ht="15" hidden="false" customHeight="false" outlineLevel="0" collapsed="false">
      <c r="A192" s="6" t="s">
        <v>401</v>
      </c>
      <c r="B192" s="7" t="s">
        <v>402</v>
      </c>
      <c r="C192" s="49" t="n">
        <v>0.0018</v>
      </c>
      <c r="D192" s="49" t="n">
        <v>0.0015</v>
      </c>
      <c r="E192" s="49" t="n">
        <v>0.0012</v>
      </c>
      <c r="F192" s="2"/>
    </row>
    <row r="193" customFormat="false" ht="15" hidden="false" customHeight="false" outlineLevel="0" collapsed="false">
      <c r="A193" s="6" t="s">
        <v>403</v>
      </c>
      <c r="B193" s="7" t="s">
        <v>402</v>
      </c>
      <c r="C193" s="49" t="n">
        <v>0.001</v>
      </c>
      <c r="D193" s="49" t="n">
        <v>0.001</v>
      </c>
      <c r="E193" s="49" t="n">
        <v>0.0008</v>
      </c>
      <c r="F193" s="2"/>
    </row>
    <row r="194" customFormat="false" ht="15" hidden="false" customHeight="false" outlineLevel="0" collapsed="false">
      <c r="A194" s="6" t="s">
        <v>404</v>
      </c>
      <c r="B194" s="7" t="s">
        <v>16</v>
      </c>
      <c r="C194" s="43" t="n">
        <v>150</v>
      </c>
      <c r="D194" s="43" t="n">
        <v>120</v>
      </c>
      <c r="E194" s="43" t="n">
        <v>100</v>
      </c>
      <c r="F194" s="2"/>
    </row>
    <row r="195" customFormat="false" ht="15" hidden="false" customHeight="false" outlineLevel="0" collapsed="false">
      <c r="A195" s="6" t="s">
        <v>405</v>
      </c>
      <c r="B195" s="7" t="s">
        <v>406</v>
      </c>
      <c r="C195" s="44" t="n">
        <v>0.12</v>
      </c>
      <c r="D195" s="44" t="n">
        <v>0.1</v>
      </c>
      <c r="E195" s="44" t="n">
        <v>0.08</v>
      </c>
      <c r="F195" s="2"/>
    </row>
    <row r="196" customFormat="false" ht="15" hidden="false" customHeight="false" outlineLevel="0" collapsed="false">
      <c r="A196" s="6" t="s">
        <v>407</v>
      </c>
      <c r="B196" s="7" t="s">
        <v>408</v>
      </c>
      <c r="C196" s="44" t="n">
        <v>0.04</v>
      </c>
      <c r="D196" s="44" t="n">
        <v>0.03</v>
      </c>
      <c r="E196" s="44" t="n">
        <v>0.025</v>
      </c>
      <c r="F196" s="2"/>
    </row>
    <row r="197" customFormat="false" ht="15" hidden="false" customHeight="false" outlineLevel="0" collapsed="false">
      <c r="A197" s="6" t="s">
        <v>409</v>
      </c>
      <c r="B197" s="7" t="s">
        <v>410</v>
      </c>
      <c r="C197" s="44" t="n">
        <v>0.25</v>
      </c>
      <c r="D197" s="44" t="n">
        <v>0.2</v>
      </c>
      <c r="E197" s="44" t="n">
        <v>0.15</v>
      </c>
      <c r="F197" s="2"/>
    </row>
    <row r="198" customFormat="false" ht="15" hidden="false" customHeight="false" outlineLevel="0" collapsed="false">
      <c r="A198" s="6" t="s">
        <v>411</v>
      </c>
      <c r="B198" s="7" t="s">
        <v>384</v>
      </c>
      <c r="C198" s="44" t="n">
        <v>0.006</v>
      </c>
      <c r="D198" s="44" t="n">
        <v>0.005</v>
      </c>
      <c r="E198" s="44" t="n">
        <v>0.004</v>
      </c>
      <c r="F198" s="2"/>
    </row>
    <row r="199" customFormat="false" ht="15" hidden="false" customHeight="false" outlineLevel="0" collapsed="false">
      <c r="A199" s="6" t="s">
        <v>412</v>
      </c>
      <c r="B199" s="7" t="s">
        <v>413</v>
      </c>
      <c r="C199" s="44" t="n">
        <v>0.05</v>
      </c>
      <c r="D199" s="44" t="n">
        <v>0.03</v>
      </c>
      <c r="E199" s="44" t="n">
        <v>0.02</v>
      </c>
      <c r="F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</row>
    <row r="201" customFormat="false" ht="15" hidden="false" customHeight="false" outlineLevel="0" collapsed="false">
      <c r="A201" s="39" t="s">
        <v>414</v>
      </c>
      <c r="B201" s="40"/>
      <c r="C201" s="40"/>
      <c r="D201" s="40"/>
      <c r="E201" s="40"/>
      <c r="F201" s="40"/>
    </row>
    <row r="202" customFormat="false" ht="15" hidden="false" customHeight="false" outlineLevel="0" collapsed="false">
      <c r="A202" s="6" t="s">
        <v>415</v>
      </c>
      <c r="B202" s="7" t="s">
        <v>416</v>
      </c>
      <c r="C202" s="43" t="n">
        <v>35000</v>
      </c>
      <c r="D202" s="43" t="n">
        <v>45000</v>
      </c>
      <c r="E202" s="43" t="n">
        <v>55000</v>
      </c>
      <c r="F202" s="2"/>
    </row>
    <row r="203" customFormat="false" ht="15" hidden="false" customHeight="false" outlineLevel="0" collapsed="false">
      <c r="A203" s="6" t="s">
        <v>417</v>
      </c>
      <c r="B203" s="7" t="s">
        <v>169</v>
      </c>
      <c r="C203" s="43" t="n">
        <v>300</v>
      </c>
      <c r="D203" s="43" t="n">
        <v>400</v>
      </c>
      <c r="E203" s="43" t="n">
        <v>500</v>
      </c>
      <c r="F203" s="2"/>
    </row>
    <row r="204" customFormat="false" ht="15" hidden="false" customHeight="false" outlineLevel="0" collapsed="false">
      <c r="A204" s="6" t="s">
        <v>418</v>
      </c>
      <c r="B204" s="7" t="s">
        <v>23</v>
      </c>
      <c r="C204" s="44" t="n">
        <v>0.1</v>
      </c>
      <c r="D204" s="44" t="n">
        <v>0.15</v>
      </c>
      <c r="E204" s="44" t="n">
        <v>0.2</v>
      </c>
      <c r="F204" s="2"/>
    </row>
    <row r="205" customFormat="false" ht="15" hidden="false" customHeight="false" outlineLevel="0" collapsed="false">
      <c r="A205" s="6" t="s">
        <v>419</v>
      </c>
      <c r="B205" s="7" t="s">
        <v>169</v>
      </c>
      <c r="C205" s="43" t="n">
        <v>1800</v>
      </c>
      <c r="D205" s="43" t="n">
        <v>2200</v>
      </c>
      <c r="E205" s="43" t="n">
        <v>2600</v>
      </c>
      <c r="F205" s="2"/>
    </row>
    <row r="206" customFormat="false" ht="15" hidden="false" customHeight="false" outlineLevel="0" collapsed="false">
      <c r="A206" s="6" t="s">
        <v>420</v>
      </c>
      <c r="B206" s="7" t="s">
        <v>23</v>
      </c>
      <c r="C206" s="44" t="n">
        <v>0.12</v>
      </c>
      <c r="D206" s="44" t="n">
        <v>0.1</v>
      </c>
      <c r="E206" s="44" t="n">
        <v>0.09</v>
      </c>
      <c r="F206" s="42" t="s">
        <v>421</v>
      </c>
    </row>
    <row r="207" customFormat="false" ht="15" hidden="false" customHeight="false" outlineLevel="0" collapsed="false">
      <c r="A207" s="6" t="s">
        <v>422</v>
      </c>
      <c r="B207" s="7" t="s">
        <v>423</v>
      </c>
      <c r="C207" s="43" t="n">
        <v>45</v>
      </c>
      <c r="D207" s="43" t="n">
        <v>40</v>
      </c>
      <c r="E207" s="43" t="n">
        <v>35</v>
      </c>
      <c r="F207" s="2"/>
    </row>
    <row r="208" customFormat="false" ht="15" hidden="false" customHeight="false" outlineLevel="0" collapsed="false">
      <c r="A208" s="6" t="s">
        <v>424</v>
      </c>
      <c r="B208" s="7" t="s">
        <v>23</v>
      </c>
      <c r="C208" s="44" t="n">
        <v>0.22</v>
      </c>
      <c r="D208" s="44" t="n">
        <v>0.22</v>
      </c>
      <c r="E208" s="44" t="n">
        <v>0.22</v>
      </c>
      <c r="F208" s="2"/>
    </row>
    <row r="209" customFormat="false" ht="15" hidden="false" customHeight="false" outlineLevel="0" collapsed="false">
      <c r="A209" s="6" t="s">
        <v>425</v>
      </c>
      <c r="B209" s="7" t="s">
        <v>169</v>
      </c>
      <c r="C209" s="43" t="n">
        <v>180000</v>
      </c>
      <c r="D209" s="43" t="n">
        <v>180000</v>
      </c>
      <c r="E209" s="43" t="n">
        <v>180000</v>
      </c>
      <c r="F209" s="2"/>
    </row>
    <row r="210" customFormat="false" ht="15" hidden="false" customHeight="false" outlineLevel="0" collapsed="false">
      <c r="A210" s="6" t="s">
        <v>426</v>
      </c>
      <c r="B210" s="7" t="s">
        <v>23</v>
      </c>
      <c r="C210" s="44" t="n">
        <v>0.16</v>
      </c>
      <c r="D210" s="44" t="n">
        <v>0.16</v>
      </c>
      <c r="E210" s="44" t="n">
        <v>0.16</v>
      </c>
      <c r="F2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164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428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429</v>
      </c>
      <c r="B7" s="7" t="s">
        <v>166</v>
      </c>
      <c r="C7" s="8" t="n">
        <f aca="false">Supuestos!$C$26</f>
        <v>25</v>
      </c>
      <c r="D7" s="8" t="n">
        <f aca="false">Supuestos!$D$26</f>
        <v>30</v>
      </c>
      <c r="E7" s="8" t="n">
        <f aca="false">Supuestos!$E$26</f>
        <v>34</v>
      </c>
      <c r="F7" s="2"/>
    </row>
    <row r="8" customFormat="false" ht="15" hidden="false" customHeight="false" outlineLevel="0" collapsed="false">
      <c r="A8" s="6" t="s">
        <v>430</v>
      </c>
      <c r="B8" s="7" t="s">
        <v>14</v>
      </c>
      <c r="C8" s="12" t="n">
        <f aca="false">MIN(Supuestos!$C$27,Supuestos!$C$61)</f>
        <v>45000</v>
      </c>
      <c r="D8" s="12" t="n">
        <f aca="false">MIN(Supuestos!$D$27,Supuestos!$D$61)</f>
        <v>58000</v>
      </c>
      <c r="E8" s="12" t="n">
        <f aca="false">MIN(Supuestos!$E$27,Supuestos!$E$61)</f>
        <v>70000</v>
      </c>
      <c r="F8" s="42" t="s">
        <v>431</v>
      </c>
    </row>
    <row r="9" customFormat="false" ht="15" hidden="false" customHeight="false" outlineLevel="0" collapsed="false">
      <c r="A9" s="6" t="s">
        <v>432</v>
      </c>
      <c r="B9" s="7" t="s">
        <v>14</v>
      </c>
      <c r="C9" s="12" t="n">
        <f aca="false">Eventos!$C$7*Eventos!$C$8</f>
        <v>1125000</v>
      </c>
      <c r="D9" s="12" t="n">
        <f aca="false">Eventos!$D$7*Eventos!$D$8</f>
        <v>1740000</v>
      </c>
      <c r="E9" s="12" t="n">
        <f aca="false">Eventos!$E$7*Eventos!$E$8</f>
        <v>2380000</v>
      </c>
      <c r="F9" s="2"/>
    </row>
    <row r="10" customFormat="false" ht="15" hidden="false" customHeight="false" outlineLevel="0" collapsed="false">
      <c r="A10" s="6" t="s">
        <v>433</v>
      </c>
      <c r="B10" s="7" t="s">
        <v>8</v>
      </c>
      <c r="C10" s="12" t="n">
        <f aca="false">Eventos!$C$9*Supuestos!$C$28/10^6</f>
        <v>427.5</v>
      </c>
      <c r="D10" s="12" t="n">
        <f aca="false">Eventos!$D$9*Supuestos!$D$28/10^6</f>
        <v>835.2</v>
      </c>
      <c r="E10" s="12" t="n">
        <f aca="false">Eventos!$E$9*Supuestos!$E$28/10^6</f>
        <v>1428</v>
      </c>
      <c r="F10" s="42" t="s">
        <v>434</v>
      </c>
    </row>
    <row r="11" customFormat="false" ht="15" hidden="false" customHeight="false" outlineLevel="0" collapsed="false">
      <c r="A11" s="6" t="s">
        <v>435</v>
      </c>
      <c r="B11" s="7" t="s">
        <v>8</v>
      </c>
      <c r="C11" s="12" t="n">
        <f aca="false">Eventos!$C$9*Supuestos!$C$30/10^6</f>
        <v>168.75</v>
      </c>
      <c r="D11" s="12" t="n">
        <f aca="false">Eventos!$D$9*Supuestos!$D$30/10^6</f>
        <v>330.6</v>
      </c>
      <c r="E11" s="12" t="n">
        <f aca="false">Eventos!$E$9*Supuestos!$E$30/10^6</f>
        <v>571.2</v>
      </c>
      <c r="F11" s="2"/>
    </row>
    <row r="12" customFormat="false" ht="15" hidden="false" customHeight="false" outlineLevel="0" collapsed="false">
      <c r="A12" s="6" t="s">
        <v>436</v>
      </c>
      <c r="B12" s="7" t="s">
        <v>437</v>
      </c>
      <c r="C12" s="12" t="n">
        <f aca="false">MIN(Supuestos!$C$123,Eventos!$C$8*Supuestos!$C$70)</f>
        <v>3150</v>
      </c>
      <c r="D12" s="12" t="n">
        <f aca="false">MIN(Supuestos!$D$123,Eventos!$D$8*Supuestos!$D$70)</f>
        <v>4640</v>
      </c>
      <c r="E12" s="12" t="n">
        <f aca="false">MIN(Supuestos!$E$123,Eventos!$E$8*Supuestos!$E$70)</f>
        <v>5688</v>
      </c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39" t="s">
        <v>438</v>
      </c>
      <c r="B14" s="40"/>
      <c r="C14" s="40"/>
      <c r="D14" s="40"/>
      <c r="E14" s="40"/>
      <c r="F14" s="40"/>
    </row>
    <row r="15" customFormat="false" ht="15" hidden="false" customHeight="false" outlineLevel="0" collapsed="false">
      <c r="A15" s="6" t="s">
        <v>429</v>
      </c>
      <c r="B15" s="7" t="s">
        <v>166</v>
      </c>
      <c r="C15" s="8" t="n">
        <f aca="false">Supuestos!$C$31</f>
        <v>2</v>
      </c>
      <c r="D15" s="8" t="n">
        <f aca="false">Supuestos!$D$31</f>
        <v>3</v>
      </c>
      <c r="E15" s="8" t="n">
        <f aca="false">Supuestos!$E$31</f>
        <v>4</v>
      </c>
      <c r="F15" s="2"/>
    </row>
    <row r="16" customFormat="false" ht="15" hidden="false" customHeight="false" outlineLevel="0" collapsed="false">
      <c r="A16" s="6" t="s">
        <v>430</v>
      </c>
      <c r="B16" s="7" t="s">
        <v>14</v>
      </c>
      <c r="C16" s="12" t="n">
        <f aca="false">MIN(Supuestos!$C$32,Supuestos!$C$61)</f>
        <v>70000</v>
      </c>
      <c r="D16" s="12" t="n">
        <f aca="false">MIN(Supuestos!$D$32,Supuestos!$D$61)</f>
        <v>80000</v>
      </c>
      <c r="E16" s="12" t="n">
        <f aca="false">MIN(Supuestos!$E$32,Supuestos!$E$61)</f>
        <v>90000</v>
      </c>
      <c r="F16" s="42" t="s">
        <v>431</v>
      </c>
    </row>
    <row r="17" customFormat="false" ht="15" hidden="false" customHeight="false" outlineLevel="0" collapsed="false">
      <c r="A17" s="6" t="s">
        <v>432</v>
      </c>
      <c r="B17" s="7" t="s">
        <v>14</v>
      </c>
      <c r="C17" s="12" t="n">
        <f aca="false">Eventos!$C$15*Eventos!$C$16</f>
        <v>140000</v>
      </c>
      <c r="D17" s="12" t="n">
        <f aca="false">Eventos!$D$15*Eventos!$D$16</f>
        <v>240000</v>
      </c>
      <c r="E17" s="12" t="n">
        <f aca="false">Eventos!$E$15*Eventos!$E$16</f>
        <v>360000</v>
      </c>
      <c r="F17" s="2"/>
    </row>
    <row r="18" customFormat="false" ht="15" hidden="false" customHeight="false" outlineLevel="0" collapsed="false">
      <c r="A18" s="6" t="s">
        <v>433</v>
      </c>
      <c r="B18" s="7" t="s">
        <v>8</v>
      </c>
      <c r="C18" s="12" t="n">
        <f aca="false">Eventos!$C$17*Supuestos!$C$33/10^6</f>
        <v>98</v>
      </c>
      <c r="D18" s="12" t="n">
        <f aca="false">Eventos!$D$17*Supuestos!$D$33/10^6</f>
        <v>204</v>
      </c>
      <c r="E18" s="12" t="n">
        <f aca="false">Eventos!$E$17*Supuestos!$E$33/10^6</f>
        <v>360</v>
      </c>
      <c r="F18" s="42" t="s">
        <v>434</v>
      </c>
    </row>
    <row r="19" customFormat="false" ht="15" hidden="false" customHeight="false" outlineLevel="0" collapsed="false">
      <c r="A19" s="6" t="s">
        <v>435</v>
      </c>
      <c r="B19" s="7" t="s">
        <v>8</v>
      </c>
      <c r="C19" s="12" t="n">
        <f aca="false">Eventos!$C$17*Supuestos!$C$35/10^6</f>
        <v>23.8</v>
      </c>
      <c r="D19" s="12" t="n">
        <f aca="false">Eventos!$D$17*Supuestos!$D$35/10^6</f>
        <v>50.4</v>
      </c>
      <c r="E19" s="12" t="n">
        <f aca="false">Eventos!$E$17*Supuestos!$E$35/10^6</f>
        <v>93.6</v>
      </c>
      <c r="F19" s="2"/>
    </row>
    <row r="20" customFormat="false" ht="15" hidden="false" customHeight="false" outlineLevel="0" collapsed="false">
      <c r="A20" s="6" t="s">
        <v>436</v>
      </c>
      <c r="B20" s="7" t="s">
        <v>437</v>
      </c>
      <c r="C20" s="12" t="n">
        <f aca="false">MIN(Supuestos!$C$123,Eventos!$C$16*Supuestos!$C$70)</f>
        <v>4900</v>
      </c>
      <c r="D20" s="12" t="n">
        <f aca="false">MIN(Supuestos!$D$123,Eventos!$D$16*Supuestos!$D$70)</f>
        <v>5688</v>
      </c>
      <c r="E20" s="12" t="n">
        <f aca="false">MIN(Supuestos!$E$123,Eventos!$E$16*Supuestos!$E$70)</f>
        <v>5688</v>
      </c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false" outlineLevel="0" collapsed="false">
      <c r="A22" s="39" t="s">
        <v>439</v>
      </c>
      <c r="B22" s="40"/>
      <c r="C22" s="40"/>
      <c r="D22" s="40"/>
      <c r="E22" s="40"/>
      <c r="F22" s="40"/>
    </row>
    <row r="23" customFormat="false" ht="15" hidden="false" customHeight="false" outlineLevel="0" collapsed="false">
      <c r="A23" s="6" t="s">
        <v>429</v>
      </c>
      <c r="B23" s="7" t="s">
        <v>166</v>
      </c>
      <c r="C23" s="8" t="n">
        <f aca="false">Supuestos!$C$36</f>
        <v>8</v>
      </c>
      <c r="D23" s="8" t="n">
        <f aca="false">Supuestos!$D$36</f>
        <v>12</v>
      </c>
      <c r="E23" s="8" t="n">
        <f aca="false">Supuestos!$E$36</f>
        <v>18</v>
      </c>
      <c r="F23" s="2"/>
    </row>
    <row r="24" customFormat="false" ht="15" hidden="false" customHeight="false" outlineLevel="0" collapsed="false">
      <c r="A24" s="6" t="s">
        <v>430</v>
      </c>
      <c r="B24" s="7" t="s">
        <v>14</v>
      </c>
      <c r="C24" s="12" t="n">
        <f aca="false">MIN(Supuestos!$C$37,Supuestos!$C$61)</f>
        <v>80000</v>
      </c>
      <c r="D24" s="12" t="n">
        <f aca="false">MIN(Supuestos!$D$37,Supuestos!$D$61)</f>
        <v>92000</v>
      </c>
      <c r="E24" s="12" t="n">
        <f aca="false">MIN(Supuestos!$E$37,Supuestos!$E$61)</f>
        <v>100000</v>
      </c>
      <c r="F24" s="42" t="s">
        <v>431</v>
      </c>
    </row>
    <row r="25" customFormat="false" ht="15" hidden="false" customHeight="false" outlineLevel="0" collapsed="false">
      <c r="A25" s="6" t="s">
        <v>432</v>
      </c>
      <c r="B25" s="7" t="s">
        <v>14</v>
      </c>
      <c r="C25" s="12" t="n">
        <f aca="false">Eventos!$C$23*Eventos!$C$24</f>
        <v>640000</v>
      </c>
      <c r="D25" s="12" t="n">
        <f aca="false">Eventos!$D$23*Eventos!$D$24</f>
        <v>1104000</v>
      </c>
      <c r="E25" s="12" t="n">
        <f aca="false">Eventos!$E$23*Eventos!$E$24</f>
        <v>1800000</v>
      </c>
      <c r="F25" s="2"/>
    </row>
    <row r="26" customFormat="false" ht="15" hidden="false" customHeight="false" outlineLevel="0" collapsed="false">
      <c r="A26" s="6" t="s">
        <v>433</v>
      </c>
      <c r="B26" s="7" t="s">
        <v>8</v>
      </c>
      <c r="C26" s="12" t="n">
        <f aca="false">Eventos!$C$25*Supuestos!$C$38/10^6</f>
        <v>1088</v>
      </c>
      <c r="D26" s="12" t="n">
        <f aca="false">Eventos!$D$25*Supuestos!$D$38/10^6</f>
        <v>2428.8</v>
      </c>
      <c r="E26" s="12" t="n">
        <f aca="false">Eventos!$E$25*Supuestos!$E$38/10^6</f>
        <v>4680</v>
      </c>
      <c r="F26" s="42" t="s">
        <v>434</v>
      </c>
    </row>
    <row r="27" customFormat="false" ht="15" hidden="false" customHeight="false" outlineLevel="0" collapsed="false">
      <c r="A27" s="6" t="s">
        <v>435</v>
      </c>
      <c r="B27" s="7" t="s">
        <v>8</v>
      </c>
      <c r="C27" s="12" t="n">
        <f aca="false">Eventos!$C$25*Supuestos!$C$40/10^6</f>
        <v>179.2</v>
      </c>
      <c r="D27" s="12" t="n">
        <f aca="false">Eventos!$D$25*Supuestos!$D$40/10^6</f>
        <v>386.4</v>
      </c>
      <c r="E27" s="12" t="n">
        <f aca="false">Eventos!$E$25*Supuestos!$E$40/10^6</f>
        <v>810</v>
      </c>
      <c r="F27" s="2"/>
    </row>
    <row r="28" customFormat="false" ht="15" hidden="false" customHeight="false" outlineLevel="0" collapsed="false">
      <c r="A28" s="6" t="s">
        <v>436</v>
      </c>
      <c r="B28" s="7" t="s">
        <v>437</v>
      </c>
      <c r="C28" s="12" t="n">
        <f aca="false">MIN(Supuestos!$C$123,Eventos!$C$24*Supuestos!$C$70)</f>
        <v>5600</v>
      </c>
      <c r="D28" s="12" t="n">
        <f aca="false">MIN(Supuestos!$D$123,Eventos!$D$24*Supuestos!$D$70)</f>
        <v>5688</v>
      </c>
      <c r="E28" s="12" t="n">
        <f aca="false">MIN(Supuestos!$E$123,Eventos!$E$24*Supuestos!$E$70)</f>
        <v>5688</v>
      </c>
      <c r="F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</row>
    <row r="30" customFormat="false" ht="15" hidden="false" customHeight="false" outlineLevel="0" collapsed="false">
      <c r="A30" s="39" t="s">
        <v>440</v>
      </c>
      <c r="B30" s="40"/>
      <c r="C30" s="40"/>
      <c r="D30" s="40"/>
      <c r="E30" s="40"/>
      <c r="F30" s="40"/>
    </row>
    <row r="31" customFormat="false" ht="15" hidden="false" customHeight="false" outlineLevel="0" collapsed="false">
      <c r="A31" s="6" t="s">
        <v>429</v>
      </c>
      <c r="B31" s="7" t="s">
        <v>166</v>
      </c>
      <c r="C31" s="8" t="n">
        <f aca="false">Supuestos!$C$41</f>
        <v>0</v>
      </c>
      <c r="D31" s="8" t="n">
        <f aca="false">Supuestos!$D$41</f>
        <v>1</v>
      </c>
      <c r="E31" s="8" t="n">
        <f aca="false">Supuestos!$E$41</f>
        <v>1</v>
      </c>
      <c r="F31" s="2"/>
    </row>
    <row r="32" customFormat="false" ht="15" hidden="false" customHeight="false" outlineLevel="0" collapsed="false">
      <c r="A32" s="6" t="s">
        <v>430</v>
      </c>
      <c r="B32" s="7" t="s">
        <v>14</v>
      </c>
      <c r="C32" s="12" t="n">
        <f aca="false">MIN(Supuestos!$C$42,Supuestos!$C$61)</f>
        <v>70000</v>
      </c>
      <c r="D32" s="12" t="n">
        <f aca="false">MIN(Supuestos!$D$42,Supuestos!$D$61)</f>
        <v>78000</v>
      </c>
      <c r="E32" s="12" t="n">
        <f aca="false">MIN(Supuestos!$E$42,Supuestos!$E$61)</f>
        <v>85000</v>
      </c>
      <c r="F32" s="42" t="s">
        <v>431</v>
      </c>
    </row>
    <row r="33" customFormat="false" ht="15" hidden="false" customHeight="false" outlineLevel="0" collapsed="false">
      <c r="A33" s="6" t="s">
        <v>432</v>
      </c>
      <c r="B33" s="7" t="s">
        <v>14</v>
      </c>
      <c r="C33" s="12" t="n">
        <f aca="false">Eventos!$C$31*Eventos!$C$32</f>
        <v>0</v>
      </c>
      <c r="D33" s="12" t="n">
        <f aca="false">Eventos!$D$31*Eventos!$D$32</f>
        <v>78000</v>
      </c>
      <c r="E33" s="12" t="n">
        <f aca="false">Eventos!$E$31*Eventos!$E$32</f>
        <v>85000</v>
      </c>
      <c r="F33" s="2"/>
    </row>
    <row r="34" customFormat="false" ht="15" hidden="false" customHeight="false" outlineLevel="0" collapsed="false">
      <c r="A34" s="6" t="s">
        <v>433</v>
      </c>
      <c r="B34" s="7" t="s">
        <v>8</v>
      </c>
      <c r="C34" s="12" t="n">
        <f aca="false">Eventos!$C$33*Supuestos!$C$43/10^6</f>
        <v>0</v>
      </c>
      <c r="D34" s="12" t="n">
        <f aca="false">Eventos!$D$33*Supuestos!$D$43/10^6</f>
        <v>249.6</v>
      </c>
      <c r="E34" s="12" t="n">
        <f aca="false">Eventos!$E$33*Supuestos!$E$43/10^6</f>
        <v>340</v>
      </c>
      <c r="F34" s="42" t="s">
        <v>434</v>
      </c>
    </row>
    <row r="35" customFormat="false" ht="15" hidden="false" customHeight="false" outlineLevel="0" collapsed="false">
      <c r="A35" s="6" t="s">
        <v>435</v>
      </c>
      <c r="B35" s="7" t="s">
        <v>8</v>
      </c>
      <c r="C35" s="12" t="n">
        <f aca="false">Eventos!$C$33*Supuestos!$C$45/10^6</f>
        <v>0</v>
      </c>
      <c r="D35" s="12" t="n">
        <f aca="false">Eventos!$D$33*Supuestos!$D$45/10^6</f>
        <v>29.64</v>
      </c>
      <c r="E35" s="12" t="n">
        <f aca="false">Eventos!$E$33*Supuestos!$E$45/10^6</f>
        <v>40.8</v>
      </c>
      <c r="F35" s="2"/>
    </row>
    <row r="36" customFormat="false" ht="15" hidden="false" customHeight="false" outlineLevel="0" collapsed="false">
      <c r="A36" s="6" t="s">
        <v>436</v>
      </c>
      <c r="B36" s="7" t="s">
        <v>437</v>
      </c>
      <c r="C36" s="12" t="n">
        <f aca="false">MIN(Supuestos!$C$123,Eventos!$C$32*Supuestos!$C$70)</f>
        <v>4900</v>
      </c>
      <c r="D36" s="12" t="n">
        <f aca="false">MIN(Supuestos!$D$123,Eventos!$D$32*Supuestos!$D$70)</f>
        <v>5688</v>
      </c>
      <c r="E36" s="12" t="n">
        <f aca="false">MIN(Supuestos!$E$123,Eventos!$E$32*Supuestos!$E$70)</f>
        <v>5688</v>
      </c>
      <c r="F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</row>
    <row r="38" customFormat="false" ht="15" hidden="false" customHeight="false" outlineLevel="0" collapsed="false">
      <c r="A38" s="39" t="s">
        <v>441</v>
      </c>
      <c r="B38" s="40"/>
      <c r="C38" s="40"/>
      <c r="D38" s="40"/>
      <c r="E38" s="40"/>
      <c r="F38" s="40"/>
    </row>
    <row r="39" customFormat="false" ht="15" hidden="false" customHeight="false" outlineLevel="0" collapsed="false">
      <c r="A39" s="6" t="s">
        <v>429</v>
      </c>
      <c r="B39" s="7" t="s">
        <v>166</v>
      </c>
      <c r="C39" s="8" t="n">
        <f aca="false">Supuestos!$C$46</f>
        <v>4</v>
      </c>
      <c r="D39" s="8" t="n">
        <f aca="false">Supuestos!$D$46</f>
        <v>6</v>
      </c>
      <c r="E39" s="8" t="n">
        <f aca="false">Supuestos!$E$46</f>
        <v>10</v>
      </c>
      <c r="F39" s="2"/>
    </row>
    <row r="40" customFormat="false" ht="15" hidden="false" customHeight="false" outlineLevel="0" collapsed="false">
      <c r="A40" s="6" t="s">
        <v>430</v>
      </c>
      <c r="B40" s="7" t="s">
        <v>14</v>
      </c>
      <c r="C40" s="12" t="n">
        <f aca="false">MIN(Supuestos!$C$47,Supuestos!$C$61)</f>
        <v>50000</v>
      </c>
      <c r="D40" s="12" t="n">
        <f aca="false">MIN(Supuestos!$D$47,Supuestos!$D$61)</f>
        <v>60000</v>
      </c>
      <c r="E40" s="12" t="n">
        <f aca="false">MIN(Supuestos!$E$47,Supuestos!$E$61)</f>
        <v>70000</v>
      </c>
      <c r="F40" s="42" t="s">
        <v>431</v>
      </c>
    </row>
    <row r="41" customFormat="false" ht="15" hidden="false" customHeight="false" outlineLevel="0" collapsed="false">
      <c r="A41" s="6" t="s">
        <v>432</v>
      </c>
      <c r="B41" s="7" t="s">
        <v>14</v>
      </c>
      <c r="C41" s="12" t="n">
        <f aca="false">Eventos!$C$39*Eventos!$C$40</f>
        <v>200000</v>
      </c>
      <c r="D41" s="12" t="n">
        <f aca="false">Eventos!$D$39*Eventos!$D$40</f>
        <v>360000</v>
      </c>
      <c r="E41" s="12" t="n">
        <f aca="false">Eventos!$E$39*Eventos!$E$40</f>
        <v>700000</v>
      </c>
      <c r="F41" s="2"/>
    </row>
    <row r="42" customFormat="false" ht="15" hidden="false" customHeight="false" outlineLevel="0" collapsed="false">
      <c r="A42" s="6" t="s">
        <v>433</v>
      </c>
      <c r="B42" s="7" t="s">
        <v>8</v>
      </c>
      <c r="C42" s="12" t="n">
        <f aca="false">Eventos!$C$41*Supuestos!$C$48/10^6</f>
        <v>300</v>
      </c>
      <c r="D42" s="12" t="n">
        <f aca="false">Eventos!$D$41*Supuestos!$D$48/10^6</f>
        <v>648</v>
      </c>
      <c r="E42" s="12" t="n">
        <f aca="false">Eventos!$E$41*Supuestos!$E$48/10^6</f>
        <v>1540</v>
      </c>
      <c r="F42" s="42" t="s">
        <v>434</v>
      </c>
    </row>
    <row r="43" customFormat="false" ht="15" hidden="false" customHeight="false" outlineLevel="0" collapsed="false">
      <c r="A43" s="6" t="s">
        <v>435</v>
      </c>
      <c r="B43" s="7" t="s">
        <v>8</v>
      </c>
      <c r="C43" s="12" t="n">
        <f aca="false">Eventos!$C$41*Supuestos!$C$50/10^6</f>
        <v>56</v>
      </c>
      <c r="D43" s="12" t="n">
        <f aca="false">Eventos!$D$41*Supuestos!$D$50/10^6</f>
        <v>126</v>
      </c>
      <c r="E43" s="12" t="n">
        <f aca="false">Eventos!$E$41*Supuestos!$E$50/10^6</f>
        <v>315</v>
      </c>
      <c r="F43" s="2"/>
    </row>
    <row r="44" customFormat="false" ht="15" hidden="false" customHeight="false" outlineLevel="0" collapsed="false">
      <c r="A44" s="6" t="s">
        <v>436</v>
      </c>
      <c r="B44" s="7" t="s">
        <v>437</v>
      </c>
      <c r="C44" s="12" t="n">
        <f aca="false">MIN(Supuestos!$C$123,Eventos!$C$40*Supuestos!$C$70)</f>
        <v>3500</v>
      </c>
      <c r="D44" s="12" t="n">
        <f aca="false">MIN(Supuestos!$D$123,Eventos!$D$40*Supuestos!$D$70)</f>
        <v>4800</v>
      </c>
      <c r="E44" s="12" t="n">
        <f aca="false">MIN(Supuestos!$E$123,Eventos!$E$40*Supuestos!$E$70)</f>
        <v>5688</v>
      </c>
      <c r="F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</row>
    <row r="46" customFormat="false" ht="15" hidden="false" customHeight="false" outlineLevel="0" collapsed="false">
      <c r="A46" s="39" t="s">
        <v>442</v>
      </c>
      <c r="B46" s="40"/>
      <c r="C46" s="40"/>
      <c r="D46" s="40"/>
      <c r="E46" s="40"/>
      <c r="F46" s="40"/>
    </row>
    <row r="47" customFormat="false" ht="15" hidden="false" customHeight="false" outlineLevel="0" collapsed="false">
      <c r="A47" s="6" t="s">
        <v>429</v>
      </c>
      <c r="B47" s="7" t="s">
        <v>166</v>
      </c>
      <c r="C47" s="8" t="n">
        <f aca="false">Supuestos!$C$51</f>
        <v>1</v>
      </c>
      <c r="D47" s="8" t="n">
        <f aca="false">Supuestos!$D$51</f>
        <v>2</v>
      </c>
      <c r="E47" s="8" t="n">
        <f aca="false">Supuestos!$E$51</f>
        <v>4</v>
      </c>
      <c r="F47" s="2"/>
    </row>
    <row r="48" customFormat="false" ht="15" hidden="false" customHeight="false" outlineLevel="0" collapsed="false">
      <c r="A48" s="6" t="s">
        <v>430</v>
      </c>
      <c r="B48" s="7" t="s">
        <v>14</v>
      </c>
      <c r="C48" s="12" t="n">
        <f aca="false">MIN(Supuestos!$C$52,Supuestos!$C$61)</f>
        <v>40000</v>
      </c>
      <c r="D48" s="12" t="n">
        <f aca="false">MIN(Supuestos!$D$52,Supuestos!$D$61)</f>
        <v>50000</v>
      </c>
      <c r="E48" s="12" t="n">
        <f aca="false">MIN(Supuestos!$E$52,Supuestos!$E$61)</f>
        <v>60000</v>
      </c>
      <c r="F48" s="42" t="s">
        <v>431</v>
      </c>
    </row>
    <row r="49" customFormat="false" ht="15" hidden="false" customHeight="false" outlineLevel="0" collapsed="false">
      <c r="A49" s="6" t="s">
        <v>432</v>
      </c>
      <c r="B49" s="7" t="s">
        <v>14</v>
      </c>
      <c r="C49" s="12" t="n">
        <f aca="false">Eventos!$C$47*Eventos!$C$48</f>
        <v>40000</v>
      </c>
      <c r="D49" s="12" t="n">
        <f aca="false">Eventos!$D$47*Eventos!$D$48</f>
        <v>100000</v>
      </c>
      <c r="E49" s="12" t="n">
        <f aca="false">Eventos!$E$47*Eventos!$E$48</f>
        <v>240000</v>
      </c>
      <c r="F49" s="2"/>
    </row>
    <row r="50" customFormat="false" ht="15" hidden="false" customHeight="false" outlineLevel="0" collapsed="false">
      <c r="A50" s="6" t="s">
        <v>433</v>
      </c>
      <c r="B50" s="7" t="s">
        <v>8</v>
      </c>
      <c r="C50" s="12" t="n">
        <f aca="false">Eventos!$C$49*Supuestos!$C$53/10^6</f>
        <v>48</v>
      </c>
      <c r="D50" s="12" t="n">
        <f aca="false">Eventos!$D$49*Supuestos!$D$53/10^6</f>
        <v>150</v>
      </c>
      <c r="E50" s="12" t="n">
        <f aca="false">Eventos!$E$49*Supuestos!$E$53/10^6</f>
        <v>480</v>
      </c>
      <c r="F50" s="42" t="s">
        <v>434</v>
      </c>
    </row>
    <row r="51" customFormat="false" ht="15" hidden="false" customHeight="false" outlineLevel="0" collapsed="false">
      <c r="A51" s="6" t="s">
        <v>435</v>
      </c>
      <c r="B51" s="7" t="s">
        <v>8</v>
      </c>
      <c r="C51" s="12" t="n">
        <f aca="false">Eventos!$C$49*Supuestos!$C$55/10^6</f>
        <v>8.8</v>
      </c>
      <c r="D51" s="12" t="n">
        <f aca="false">Eventos!$D$49*Supuestos!$D$55/10^6</f>
        <v>28</v>
      </c>
      <c r="E51" s="12" t="n">
        <f aca="false">Eventos!$E$49*Supuestos!$E$55/10^6</f>
        <v>84</v>
      </c>
      <c r="F51" s="2"/>
    </row>
    <row r="52" customFormat="false" ht="15" hidden="false" customHeight="false" outlineLevel="0" collapsed="false">
      <c r="A52" s="6" t="s">
        <v>436</v>
      </c>
      <c r="B52" s="7" t="s">
        <v>437</v>
      </c>
      <c r="C52" s="12" t="n">
        <f aca="false">MIN(Supuestos!$C$123,Eventos!$C$48*Supuestos!$C$70)</f>
        <v>2800</v>
      </c>
      <c r="D52" s="12" t="n">
        <f aca="false">MIN(Supuestos!$D$123,Eventos!$D$48*Supuestos!$D$70)</f>
        <v>4000</v>
      </c>
      <c r="E52" s="12" t="n">
        <f aca="false">MIN(Supuestos!$E$123,Eventos!$E$48*Supuestos!$E$70)</f>
        <v>5400</v>
      </c>
      <c r="F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</row>
    <row r="54" customFormat="false" ht="15" hidden="false" customHeight="false" outlineLevel="0" collapsed="false">
      <c r="A54" s="39" t="s">
        <v>443</v>
      </c>
      <c r="B54" s="40"/>
      <c r="C54" s="40"/>
      <c r="D54" s="40"/>
      <c r="E54" s="40"/>
      <c r="F54" s="40"/>
    </row>
    <row r="55" customFormat="false" ht="15" hidden="false" customHeight="false" outlineLevel="0" collapsed="false">
      <c r="A55" s="6" t="s">
        <v>429</v>
      </c>
      <c r="B55" s="7" t="s">
        <v>166</v>
      </c>
      <c r="C55" s="8" t="n">
        <f aca="false">Supuestos!$C$56</f>
        <v>2</v>
      </c>
      <c r="D55" s="8" t="n">
        <f aca="false">Supuestos!$D$56</f>
        <v>4</v>
      </c>
      <c r="E55" s="8" t="n">
        <f aca="false">Supuestos!$E$56</f>
        <v>6</v>
      </c>
      <c r="F55" s="2"/>
    </row>
    <row r="56" customFormat="false" ht="15" hidden="false" customHeight="false" outlineLevel="0" collapsed="false">
      <c r="A56" s="6" t="s">
        <v>430</v>
      </c>
      <c r="B56" s="7" t="s">
        <v>14</v>
      </c>
      <c r="C56" s="12" t="n">
        <f aca="false">MIN(Supuestos!$C$57,Supuestos!$C$61)</f>
        <v>25000</v>
      </c>
      <c r="D56" s="12" t="n">
        <f aca="false">MIN(Supuestos!$D$57,Supuestos!$D$61)</f>
        <v>30000</v>
      </c>
      <c r="E56" s="12" t="n">
        <f aca="false">MIN(Supuestos!$E$57,Supuestos!$E$61)</f>
        <v>40000</v>
      </c>
      <c r="F56" s="42" t="s">
        <v>431</v>
      </c>
    </row>
    <row r="57" customFormat="false" ht="15" hidden="false" customHeight="false" outlineLevel="0" collapsed="false">
      <c r="A57" s="6" t="s">
        <v>432</v>
      </c>
      <c r="B57" s="7" t="s">
        <v>14</v>
      </c>
      <c r="C57" s="12" t="n">
        <f aca="false">Eventos!$C$55*Eventos!$C$56</f>
        <v>50000</v>
      </c>
      <c r="D57" s="12" t="n">
        <f aca="false">Eventos!$D$55*Eventos!$D$56</f>
        <v>120000</v>
      </c>
      <c r="E57" s="12" t="n">
        <f aca="false">Eventos!$E$55*Eventos!$E$56</f>
        <v>240000</v>
      </c>
      <c r="F57" s="2"/>
    </row>
    <row r="58" customFormat="false" ht="15" hidden="false" customHeight="false" outlineLevel="0" collapsed="false">
      <c r="A58" s="6" t="s">
        <v>433</v>
      </c>
      <c r="B58" s="7" t="s">
        <v>8</v>
      </c>
      <c r="C58" s="12" t="n">
        <f aca="false">Eventos!$C$57*Supuestos!$C$58/10^6</f>
        <v>15</v>
      </c>
      <c r="D58" s="12" t="n">
        <f aca="false">Eventos!$D$57*Supuestos!$D$58/10^6</f>
        <v>48</v>
      </c>
      <c r="E58" s="12" t="n">
        <f aca="false">Eventos!$E$57*Supuestos!$E$58/10^6</f>
        <v>120</v>
      </c>
      <c r="F58" s="42" t="s">
        <v>434</v>
      </c>
    </row>
    <row r="59" customFormat="false" ht="15" hidden="false" customHeight="false" outlineLevel="0" collapsed="false">
      <c r="A59" s="6" t="s">
        <v>435</v>
      </c>
      <c r="B59" s="7" t="s">
        <v>8</v>
      </c>
      <c r="C59" s="12" t="n">
        <f aca="false">Eventos!$C$57*Supuestos!$C$60/10^6</f>
        <v>6</v>
      </c>
      <c r="D59" s="12" t="n">
        <f aca="false">Eventos!$D$57*Supuestos!$D$60/10^6</f>
        <v>18</v>
      </c>
      <c r="E59" s="12" t="n">
        <f aca="false">Eventos!$E$57*Supuestos!$E$60/10^6</f>
        <v>48</v>
      </c>
      <c r="F59" s="2"/>
    </row>
    <row r="60" customFormat="false" ht="15" hidden="false" customHeight="false" outlineLevel="0" collapsed="false">
      <c r="A60" s="6" t="s">
        <v>436</v>
      </c>
      <c r="B60" s="7" t="s">
        <v>437</v>
      </c>
      <c r="C60" s="12" t="n">
        <f aca="false">MIN(Supuestos!$C$123,Eventos!$C$56*Supuestos!$C$70)</f>
        <v>1750</v>
      </c>
      <c r="D60" s="12" t="n">
        <f aca="false">MIN(Supuestos!$D$123,Eventos!$D$56*Supuestos!$D$70)</f>
        <v>2400</v>
      </c>
      <c r="E60" s="12" t="n">
        <f aca="false">MIN(Supuestos!$E$123,Eventos!$E$56*Supuestos!$E$70)</f>
        <v>3600</v>
      </c>
      <c r="F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</row>
    <row r="62" customFormat="false" ht="15" hidden="false" customHeight="false" outlineLevel="0" collapsed="false">
      <c r="A62" s="39" t="s">
        <v>444</v>
      </c>
      <c r="B62" s="40"/>
      <c r="C62" s="40"/>
      <c r="D62" s="40"/>
      <c r="E62" s="40"/>
      <c r="F62" s="40"/>
    </row>
    <row r="63" customFormat="false" ht="15" hidden="false" customHeight="false" outlineLevel="0" collapsed="false">
      <c r="A63" s="14" t="s">
        <v>9</v>
      </c>
      <c r="B63" s="7" t="s">
        <v>10</v>
      </c>
      <c r="C63" s="50" t="n">
        <f aca="false">Eventos!$C$7+Eventos!$C$15+Eventos!$C$23+Eventos!$C$31+Eventos!$C$39+Eventos!$C$47+Eventos!$C$55</f>
        <v>42</v>
      </c>
      <c r="D63" s="50" t="n">
        <f aca="false">Eventos!$D$7+Eventos!$D$15+Eventos!$D$23+Eventos!$D$31+Eventos!$D$39+Eventos!$D$47+Eventos!$D$55</f>
        <v>58</v>
      </c>
      <c r="E63" s="50" t="n">
        <f aca="false">Eventos!$E$7+Eventos!$E$15+Eventos!$E$23+Eventos!$E$31+Eventos!$E$39+Eventos!$E$47+Eventos!$E$55</f>
        <v>77</v>
      </c>
      <c r="F63" s="2"/>
    </row>
    <row r="64" customFormat="false" ht="15" hidden="false" customHeight="false" outlineLevel="0" collapsed="false">
      <c r="A64" s="14" t="s">
        <v>432</v>
      </c>
      <c r="B64" s="7" t="s">
        <v>14</v>
      </c>
      <c r="C64" s="50" t="n">
        <f aca="false">Eventos!$C$9+Eventos!$C$17+Eventos!$C$25+Eventos!$C$33+Eventos!$C$41+Eventos!$C$49+Eventos!$C$57</f>
        <v>2195000</v>
      </c>
      <c r="D64" s="50" t="n">
        <f aca="false">Eventos!$D$9+Eventos!$D$17+Eventos!$D$25+Eventos!$D$33+Eventos!$D$41+Eventos!$D$49+Eventos!$D$57</f>
        <v>3742000</v>
      </c>
      <c r="E64" s="50" t="n">
        <f aca="false">Eventos!$E$9+Eventos!$E$17+Eventos!$E$25+Eventos!$E$33+Eventos!$E$41+Eventos!$E$49+Eventos!$E$57</f>
        <v>5805000</v>
      </c>
      <c r="F64" s="2"/>
    </row>
    <row r="65" customFormat="false" ht="15" hidden="false" customHeight="false" outlineLevel="0" collapsed="false">
      <c r="A65" s="6" t="s">
        <v>445</v>
      </c>
      <c r="B65" s="7" t="s">
        <v>14</v>
      </c>
      <c r="C65" s="12" t="n">
        <f aca="false">Eventos!$C$64-Eventos!$C$9-Eventos!$C$17</f>
        <v>930000</v>
      </c>
      <c r="D65" s="12" t="n">
        <f aca="false">Eventos!$D$64-Eventos!$D$9-Eventos!$D$17</f>
        <v>1762000</v>
      </c>
      <c r="E65" s="12" t="n">
        <f aca="false">Eventos!$E$64-Eventos!$E$9-Eventos!$E$17</f>
        <v>3065000</v>
      </c>
      <c r="F65" s="2"/>
    </row>
    <row r="66" customFormat="false" ht="15" hidden="false" customHeight="false" outlineLevel="0" collapsed="false">
      <c r="A66" s="14" t="s">
        <v>446</v>
      </c>
      <c r="B66" s="7" t="s">
        <v>8</v>
      </c>
      <c r="C66" s="50" t="n">
        <f aca="false">Eventos!$C$10+Eventos!$C$18+Eventos!$C$26+Eventos!$C$34+Eventos!$C$42+Eventos!$C$50+Eventos!$C$58</f>
        <v>1976.5</v>
      </c>
      <c r="D66" s="50" t="n">
        <f aca="false">Eventos!$D$10+Eventos!$D$18+Eventos!$D$26+Eventos!$D$34+Eventos!$D$42+Eventos!$D$50+Eventos!$D$58</f>
        <v>4563.6</v>
      </c>
      <c r="E66" s="50" t="n">
        <f aca="false">Eventos!$E$10+Eventos!$E$18+Eventos!$E$26+Eventos!$E$34+Eventos!$E$42+Eventos!$E$50+Eventos!$E$58</f>
        <v>8948</v>
      </c>
      <c r="F66" s="2"/>
    </row>
    <row r="67" customFormat="false" ht="15" hidden="false" customHeight="false" outlineLevel="0" collapsed="false">
      <c r="A67" s="6" t="s">
        <v>435</v>
      </c>
      <c r="B67" s="7" t="s">
        <v>8</v>
      </c>
      <c r="C67" s="12" t="n">
        <f aca="false">Eventos!$C$11+Eventos!$C$19+Eventos!$C$27+Eventos!$C$35+Eventos!$C$43+Eventos!$C$51+Eventos!$C$59</f>
        <v>442.55</v>
      </c>
      <c r="D67" s="12" t="n">
        <f aca="false">Eventos!$D$11+Eventos!$D$19+Eventos!$D$27+Eventos!$D$35+Eventos!$D$43+Eventos!$D$51+Eventos!$D$59</f>
        <v>969.04</v>
      </c>
      <c r="E67" s="12" t="n">
        <f aca="false">Eventos!$E$11+Eventos!$E$19+Eventos!$E$27+Eventos!$E$35+Eventos!$E$43+Eventos!$E$51+Eventos!$E$59</f>
        <v>1962.6</v>
      </c>
      <c r="F67" s="2"/>
    </row>
    <row r="68" customFormat="false" ht="15" hidden="false" customHeight="false" outlineLevel="0" collapsed="false">
      <c r="A68" s="6" t="s">
        <v>447</v>
      </c>
      <c r="B68" s="7" t="s">
        <v>8</v>
      </c>
      <c r="C68" s="12" t="n">
        <f aca="false">Eventos!$C$64*Supuestos!$C$63/10^6</f>
        <v>87.8</v>
      </c>
      <c r="D68" s="12" t="n">
        <f aca="false">Eventos!$D$64*Supuestos!$D$63/10^6</f>
        <v>224.52</v>
      </c>
      <c r="E68" s="12" t="n">
        <f aca="false">Eventos!$E$64*Supuestos!$E$63/10^6</f>
        <v>464.4</v>
      </c>
      <c r="F68" s="2"/>
    </row>
    <row r="69" customFormat="false" ht="15" hidden="false" customHeight="false" outlineLevel="0" collapsed="false">
      <c r="A69" s="6" t="s">
        <v>448</v>
      </c>
      <c r="B69" s="7" t="s">
        <v>449</v>
      </c>
      <c r="C69" s="12" t="n">
        <f aca="false">Eventos!$C$7*Eventos!$C$12+Eventos!$C$15*Eventos!$C$20+Eventos!$C$23*Eventos!$C$28+Eventos!$C$31*Eventos!$C$36+Eventos!$C$39*Eventos!$C$44+Eventos!$C$47*Eventos!$C$52+Eventos!$C$55*Eventos!$C$60</f>
        <v>153650</v>
      </c>
      <c r="D69" s="12" t="n">
        <f aca="false">Eventos!$D$7*Eventos!$D$12+Eventos!$D$15*Eventos!$D$20+Eventos!$D$23*Eventos!$D$28+Eventos!$D$31*Eventos!$D$36+Eventos!$D$39*Eventos!$D$44+Eventos!$D$47*Eventos!$D$52+Eventos!$D$55*Eventos!$D$60</f>
        <v>276608</v>
      </c>
      <c r="E69" s="12" t="n">
        <f aca="false">Eventos!$E$7*Eventos!$E$12+Eventos!$E$15*Eventos!$E$20+Eventos!$E$23*Eventos!$E$28+Eventos!$E$31*Eventos!$E$36+Eventos!$E$39*Eventos!$E$44+Eventos!$E$47*Eventos!$E$52+Eventos!$E$55*Eventos!$E$60</f>
        <v>424296</v>
      </c>
      <c r="F69" s="2"/>
    </row>
    <row r="70" customFormat="false" ht="15" hidden="false" customHeight="false" outlineLevel="0" collapsed="false">
      <c r="A70" s="6" t="s">
        <v>450</v>
      </c>
      <c r="B70" s="7" t="s">
        <v>10</v>
      </c>
      <c r="C70" s="12" t="n">
        <f aca="false">365-Eventos!$C$63</f>
        <v>323</v>
      </c>
      <c r="D70" s="12" t="n">
        <f aca="false">365-Eventos!$D$63</f>
        <v>307</v>
      </c>
      <c r="E70" s="12" t="n">
        <f aca="false">365-Eventos!$E$63</f>
        <v>288</v>
      </c>
      <c r="F7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451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452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453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454</v>
      </c>
      <c r="B7" s="7" t="s">
        <v>304</v>
      </c>
      <c r="C7" s="8" t="n">
        <f aca="false">Supuestos!$C$132</f>
        <v>1850</v>
      </c>
      <c r="D7" s="8" t="n">
        <f aca="false">Supuestos!$D$132</f>
        <v>1900</v>
      </c>
      <c r="E7" s="8" t="n">
        <f aca="false">Supuestos!$E$132</f>
        <v>2000</v>
      </c>
      <c r="F7" s="2"/>
    </row>
    <row r="8" customFormat="false" ht="15" hidden="false" customHeight="false" outlineLevel="0" collapsed="false">
      <c r="A8" s="6" t="s">
        <v>455</v>
      </c>
      <c r="B8" s="7" t="s">
        <v>23</v>
      </c>
      <c r="C8" s="17" t="n">
        <f aca="false">(1-Supuestos!$C$133)*(1-Supuestos!$C$134)*(1-Supuestos!$C$135)*(1-Supuestos!$C$136)*(1-Supuestos!$C$137)*(1-Supuestos!$C$138)*(1-Supuestos!$C$139)</f>
        <v>0.729500435118</v>
      </c>
      <c r="D8" s="17" t="n">
        <f aca="false">(1-Supuestos!$D$133)*(1-Supuestos!$D$134)*(1-Supuestos!$D$135)*(1-Supuestos!$D$136)*(1-Supuestos!$D$137)*(1-Supuestos!$D$138)*(1-Supuestos!$D$139)</f>
        <v>0.7693686252252</v>
      </c>
      <c r="E8" s="17" t="n">
        <f aca="false">(1-Supuestos!$E$133)*(1-Supuestos!$E$134)*(1-Supuestos!$E$135)*(1-Supuestos!$E$136)*(1-Supuestos!$E$137)*(1-Supuestos!$E$138)*(1-Supuestos!$E$139)</f>
        <v>0.819132668947425</v>
      </c>
      <c r="F8" s="42" t="s">
        <v>456</v>
      </c>
    </row>
    <row r="9" customFormat="false" ht="15" hidden="false" customHeight="false" outlineLevel="0" collapsed="false">
      <c r="A9" s="6" t="s">
        <v>457</v>
      </c>
      <c r="B9" s="7" t="s">
        <v>458</v>
      </c>
      <c r="C9" s="12" t="n">
        <f aca="false">Energia!$C$7*Energia!$C$8</f>
        <v>1349.5758049683</v>
      </c>
      <c r="D9" s="12" t="n">
        <f aca="false">Energia!$D$7*Energia!$D$8</f>
        <v>1461.80038792788</v>
      </c>
      <c r="E9" s="12" t="n">
        <f aca="false">Energia!$E$7*Energia!$E$8</f>
        <v>1638.26533789485</v>
      </c>
      <c r="F9" s="2"/>
    </row>
    <row r="10" customFormat="false" ht="15" hidden="false" customHeight="false" outlineLevel="0" collapsed="false">
      <c r="A10" s="6" t="s">
        <v>459</v>
      </c>
      <c r="B10" s="7" t="s">
        <v>458</v>
      </c>
      <c r="C10" s="12" t="n">
        <f aca="false">Energia!$C$9*Supuestos!$C$145</f>
        <v>485.847289788588</v>
      </c>
      <c r="D10" s="12" t="n">
        <f aca="false">Energia!$D$9*Supuestos!$D$145</f>
        <v>555.484147412594</v>
      </c>
      <c r="E10" s="12" t="n">
        <f aca="false">Energia!$E$9*Supuestos!$E$145</f>
        <v>655.30613515794</v>
      </c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39" t="s">
        <v>460</v>
      </c>
      <c r="B12" s="40"/>
      <c r="C12" s="40"/>
      <c r="D12" s="40"/>
      <c r="E12" s="40"/>
      <c r="F12" s="40"/>
    </row>
    <row r="13" customFormat="false" ht="15" hidden="false" customHeight="false" outlineLevel="0" collapsed="false">
      <c r="A13" s="6" t="s">
        <v>461</v>
      </c>
      <c r="B13" s="7" t="s">
        <v>462</v>
      </c>
      <c r="C13" s="12" t="n">
        <f aca="false">Supuestos!$C$140*Supuestos!$C$143</f>
        <v>8172.41</v>
      </c>
      <c r="D13" s="12" t="n">
        <f aca="false">Supuestos!$D$140*Supuestos!$D$143</f>
        <v>8653.14</v>
      </c>
      <c r="E13" s="12" t="n">
        <f aca="false">Supuestos!$E$140*Supuestos!$E$143</f>
        <v>9133.87</v>
      </c>
      <c r="F13" s="2"/>
    </row>
    <row r="14" customFormat="false" ht="15" hidden="false" customHeight="false" outlineLevel="0" collapsed="false">
      <c r="A14" s="6" t="s">
        <v>463</v>
      </c>
      <c r="B14" s="7" t="s">
        <v>462</v>
      </c>
      <c r="C14" s="12" t="n">
        <f aca="false">Supuestos!$C$141*Supuestos!$C$143</f>
        <v>833</v>
      </c>
      <c r="D14" s="12" t="n">
        <f aca="false">Supuestos!$D$141*Supuestos!$D$143</f>
        <v>882</v>
      </c>
      <c r="E14" s="12" t="n">
        <f aca="false">Supuestos!$E$141*Supuestos!$E$143</f>
        <v>931</v>
      </c>
      <c r="F14" s="2"/>
    </row>
    <row r="15" customFormat="false" ht="15" hidden="false" customHeight="false" outlineLevel="0" collapsed="false">
      <c r="A15" s="6" t="s">
        <v>464</v>
      </c>
      <c r="B15" s="7" t="s">
        <v>462</v>
      </c>
      <c r="C15" s="12" t="n">
        <f aca="false">Supuestos!$C$142*Supuestos!$C$144</f>
        <v>3575.76</v>
      </c>
      <c r="D15" s="12" t="n">
        <f aca="false">Supuestos!$D$142*Supuestos!$D$144</f>
        <v>3575.76</v>
      </c>
      <c r="E15" s="12" t="n">
        <f aca="false">Supuestos!$E$142*Supuestos!$E$144</f>
        <v>3575.76</v>
      </c>
      <c r="F15" s="2"/>
    </row>
    <row r="16" customFormat="false" ht="15" hidden="false" customHeight="false" outlineLevel="0" collapsed="false">
      <c r="A16" s="14" t="s">
        <v>465</v>
      </c>
      <c r="B16" s="7" t="s">
        <v>462</v>
      </c>
      <c r="C16" s="50" t="n">
        <f aca="false">Energia!$C$13+Energia!$C$14+Energia!$C$15</f>
        <v>12581.17</v>
      </c>
      <c r="D16" s="50" t="n">
        <f aca="false">Energia!$D$13+Energia!$D$14+Energia!$D$15</f>
        <v>13110.9</v>
      </c>
      <c r="E16" s="50" t="n">
        <f aca="false">Energia!$E$13+Energia!$E$14+Energia!$E$15</f>
        <v>13640.63</v>
      </c>
      <c r="F16" s="2"/>
    </row>
    <row r="17" customFormat="false" ht="15" hidden="false" customHeight="false" outlineLevel="0" collapsed="false">
      <c r="A17" s="6" t="s">
        <v>466</v>
      </c>
      <c r="B17" s="7" t="s">
        <v>35</v>
      </c>
      <c r="C17" s="19" t="n">
        <f aca="false">Energia!$C$13*Energia!$C$9/10^6</f>
        <v>11.029286804281</v>
      </c>
      <c r="D17" s="19" t="n">
        <f aca="false">Energia!$D$13*Energia!$D$9/10^6</f>
        <v>12.6491634087943</v>
      </c>
      <c r="E17" s="19" t="n">
        <f aca="false">Energia!$E$13*Energia!$E$9/10^6</f>
        <v>14.9637026218376</v>
      </c>
      <c r="F17" s="2"/>
    </row>
    <row r="18" customFormat="false" ht="15" hidden="false" customHeight="false" outlineLevel="0" collapsed="false">
      <c r="A18" s="6" t="s">
        <v>467</v>
      </c>
      <c r="B18" s="7" t="s">
        <v>35</v>
      </c>
      <c r="C18" s="19" t="n">
        <f aca="false">Energia!$C$14*Energia!$C$9/10^6</f>
        <v>1.12419664553859</v>
      </c>
      <c r="D18" s="19" t="n">
        <f aca="false">Energia!$D$14*Energia!$D$9/10^6</f>
        <v>1.28930794215239</v>
      </c>
      <c r="E18" s="19" t="n">
        <f aca="false">Energia!$E$14*Energia!$E$9/10^6</f>
        <v>1.52522502958011</v>
      </c>
      <c r="F18" s="2"/>
    </row>
    <row r="19" customFormat="false" ht="15" hidden="false" customHeight="false" outlineLevel="0" collapsed="false">
      <c r="A19" s="6" t="s">
        <v>468</v>
      </c>
      <c r="B19" s="7" t="s">
        <v>35</v>
      </c>
      <c r="C19" s="19" t="n">
        <f aca="false">Energia!$C$15*Energia!$C$10/10^6</f>
        <v>1.73727330493444</v>
      </c>
      <c r="D19" s="19" t="n">
        <f aca="false">Energia!$D$15*Energia!$D$10/10^6</f>
        <v>1.98627799495206</v>
      </c>
      <c r="E19" s="19" t="n">
        <f aca="false">Energia!$E$15*Energia!$E$10/10^6</f>
        <v>2.34321746585236</v>
      </c>
      <c r="F19" s="2"/>
    </row>
    <row r="20" customFormat="false" ht="15" hidden="false" customHeight="false" outlineLevel="0" collapsed="false">
      <c r="A20" s="9" t="s">
        <v>469</v>
      </c>
      <c r="B20" s="10" t="s">
        <v>35</v>
      </c>
      <c r="C20" s="51" t="n">
        <f aca="false">Energia!$C$17+Energia!$C$18+Energia!$C$19</f>
        <v>13.890756754754</v>
      </c>
      <c r="D20" s="51" t="n">
        <f aca="false">Energia!$D$17+Energia!$D$18+Energia!$D$19</f>
        <v>15.9247493458987</v>
      </c>
      <c r="E20" s="51" t="n">
        <f aca="false">Energia!$E$17+Energia!$E$18+Energia!$E$19</f>
        <v>18.8321451172701</v>
      </c>
      <c r="F20" s="2"/>
    </row>
    <row r="21" customFormat="false" ht="15" hidden="false" customHeight="false" outlineLevel="0" collapsed="false">
      <c r="A21" s="6" t="s">
        <v>470</v>
      </c>
      <c r="B21" s="7" t="s">
        <v>35</v>
      </c>
      <c r="C21" s="19" t="n">
        <f aca="false">(Energia!$C$13+Energia!$C$14)*Energia!$C$7/10^6+Energia!$C$15*Energia!$C$7*Supuestos!$C$145/10^6</f>
        <v>19.04146466</v>
      </c>
      <c r="D21" s="19" t="n">
        <f aca="false">(Energia!$D$13+Energia!$D$14)*Energia!$D$7/10^6+Energia!$D$15*Energia!$D$7*Supuestos!$D$145/10^6</f>
        <v>20.69846472</v>
      </c>
      <c r="E21" s="19" t="n">
        <f aca="false">(Energia!$E$13+Energia!$E$14)*Energia!$E$7/10^6+Energia!$E$15*Energia!$E$7*Supuestos!$E$145/10^6</f>
        <v>22.990348</v>
      </c>
      <c r="F21" s="42" t="s">
        <v>471</v>
      </c>
    </row>
    <row r="22" customFormat="false" ht="15" hidden="false" customHeight="false" outlineLevel="0" collapsed="false">
      <c r="A22" s="14" t="s">
        <v>36</v>
      </c>
      <c r="B22" s="7" t="s">
        <v>35</v>
      </c>
      <c r="C22" s="52" t="n">
        <f aca="false">Energia!$C$21-Energia!$C$20</f>
        <v>5.15070790524598</v>
      </c>
      <c r="D22" s="52" t="n">
        <f aca="false">Energia!$D$21-Energia!$D$20</f>
        <v>4.7737153741013</v>
      </c>
      <c r="E22" s="52" t="n">
        <f aca="false">Energia!$E$21-Energia!$E$20</f>
        <v>4.15820288272991</v>
      </c>
      <c r="F22" s="2"/>
    </row>
    <row r="23" customFormat="false" ht="15" hidden="false" customHeight="false" outlineLevel="0" collapsed="false">
      <c r="A23" s="6" t="s">
        <v>472</v>
      </c>
      <c r="B23" s="7" t="s">
        <v>35</v>
      </c>
      <c r="C23" s="19" t="n">
        <f aca="false">Energia!$C$20*(1-(1-Supuestos!$C$146)^9)</f>
        <v>0.612727137384777</v>
      </c>
      <c r="D23" s="19" t="n">
        <f aca="false">Energia!$D$20*(1-(1-Supuestos!$D$146)^9)</f>
        <v>0.702447408197768</v>
      </c>
      <c r="E23" s="19" t="n">
        <f aca="false">Energia!$E$20*(1-(1-Supuestos!$E$146)^9)</f>
        <v>0.830693861554409</v>
      </c>
      <c r="F23" s="2"/>
    </row>
    <row r="24" customFormat="false" ht="15" hidden="false" customHeight="false" outlineLevel="0" collapsed="false">
      <c r="A24" s="6" t="s">
        <v>473</v>
      </c>
      <c r="B24" s="7" t="s">
        <v>35</v>
      </c>
      <c r="C24" s="19" t="n">
        <f aca="false">Energia!$C$20*(1-Supuestos!$C$146)^29</f>
        <v>12.011444749269</v>
      </c>
      <c r="D24" s="19" t="n">
        <f aca="false">Energia!$D$20*(1-Supuestos!$D$146)^29</f>
        <v>13.7702538667489</v>
      </c>
      <c r="E24" s="19" t="n">
        <f aca="false">Energia!$E$20*(1-Supuestos!$E$146)^29</f>
        <v>16.2843014660731</v>
      </c>
      <c r="F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39" t="s">
        <v>474</v>
      </c>
      <c r="B26" s="40"/>
      <c r="C26" s="40"/>
      <c r="D26" s="40"/>
      <c r="E26" s="40"/>
      <c r="F26" s="40"/>
    </row>
    <row r="27" customFormat="false" ht="15" hidden="false" customHeight="false" outlineLevel="0" collapsed="false">
      <c r="A27" s="6" t="s">
        <v>475</v>
      </c>
      <c r="B27" s="7" t="s">
        <v>35</v>
      </c>
      <c r="C27" s="19" t="n">
        <f aca="false">(Supuestos!$C$147*8760/1000+Supuestos!$C$148*Eventos!$C$63)/1000</f>
        <v>8.652</v>
      </c>
      <c r="D27" s="19" t="n">
        <f aca="false">(Supuestos!$D$147*8760/1000+Supuestos!$D$148*Eventos!$D$63)/1000</f>
        <v>8.594</v>
      </c>
      <c r="E27" s="19" t="n">
        <f aca="false">(Supuestos!$E$147*8760/1000+Supuestos!$E$148*Eventos!$E$63)/1000</f>
        <v>8.721</v>
      </c>
      <c r="F27" s="2"/>
    </row>
    <row r="28" customFormat="false" ht="15" hidden="false" customHeight="false" outlineLevel="0" collapsed="false">
      <c r="A28" s="6" t="s">
        <v>476</v>
      </c>
      <c r="B28" s="7" t="s">
        <v>35</v>
      </c>
      <c r="C28" s="19" t="n">
        <f aca="false">Supuestos!$C$102*Supuestos!$C$149/10^6</f>
        <v>52.12134</v>
      </c>
      <c r="D28" s="19" t="n">
        <f aca="false">Supuestos!$D$102*Supuestos!$D$149/10^6</f>
        <v>44.39966</v>
      </c>
      <c r="E28" s="19" t="n">
        <f aca="false">Supuestos!$E$102*Supuestos!$E$149/10^6</f>
        <v>38.6084</v>
      </c>
      <c r="F28" s="2"/>
    </row>
    <row r="29" customFormat="false" ht="15" hidden="false" customHeight="false" outlineLevel="0" collapsed="false">
      <c r="A29" s="6" t="s">
        <v>335</v>
      </c>
      <c r="B29" s="7" t="s">
        <v>35</v>
      </c>
      <c r="C29" s="19" t="n">
        <f aca="false">Supuestos!$C$151*Supuestos!$C$150/10^6</f>
        <v>4.188324</v>
      </c>
      <c r="D29" s="19" t="n">
        <f aca="false">Supuestos!$D$151*Supuestos!$D$150/10^6</f>
        <v>3.839297</v>
      </c>
      <c r="E29" s="19" t="n">
        <f aca="false">Supuestos!$E$151*Supuestos!$E$150/10^6</f>
        <v>3.49027</v>
      </c>
      <c r="F29" s="2"/>
    </row>
    <row r="30" customFormat="false" ht="15" hidden="false" customHeight="false" outlineLevel="0" collapsed="false">
      <c r="A30" s="6" t="s">
        <v>113</v>
      </c>
      <c r="B30" s="7" t="s">
        <v>35</v>
      </c>
      <c r="C30" s="19" t="n">
        <f aca="false">Supuestos!$C$127*Supuestos!$C$128*365/10^6</f>
        <v>1.022</v>
      </c>
      <c r="D30" s="19" t="n">
        <f aca="false">Supuestos!$D$127*Supuestos!$D$128*365/10^6</f>
        <v>1.752</v>
      </c>
      <c r="E30" s="19" t="n">
        <f aca="false">Supuestos!$E$127*Supuestos!$E$128*365/10^6</f>
        <v>2.628</v>
      </c>
      <c r="F30" s="2"/>
    </row>
    <row r="31" customFormat="false" ht="15" hidden="false" customHeight="false" outlineLevel="0" collapsed="false">
      <c r="A31" s="9" t="s">
        <v>477</v>
      </c>
      <c r="B31" s="10" t="s">
        <v>35</v>
      </c>
      <c r="C31" s="51" t="n">
        <f aca="false">Energia!$C$27+Energia!$C$28+Energia!$C$29+Energia!$C$30</f>
        <v>65.983664</v>
      </c>
      <c r="D31" s="51" t="n">
        <f aca="false">Energia!$D$27+Energia!$D$28+Energia!$D$29+Energia!$D$30</f>
        <v>58.584957</v>
      </c>
      <c r="E31" s="51" t="n">
        <f aca="false">Energia!$E$27+Energia!$E$28+Energia!$E$29+Energia!$E$30</f>
        <v>53.44767</v>
      </c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39" t="s">
        <v>478</v>
      </c>
      <c r="B33" s="40"/>
      <c r="C33" s="40"/>
      <c r="D33" s="40"/>
      <c r="E33" s="40"/>
      <c r="F33" s="40"/>
    </row>
    <row r="34" customFormat="false" ht="15" hidden="false" customHeight="false" outlineLevel="0" collapsed="false">
      <c r="A34" s="14" t="s">
        <v>479</v>
      </c>
      <c r="B34" s="7" t="s">
        <v>23</v>
      </c>
      <c r="C34" s="18" t="n">
        <f aca="false">Energia!$C$20/Energia!$C$31</f>
        <v>0.210518117859506</v>
      </c>
      <c r="D34" s="18" t="n">
        <f aca="false">Energia!$D$20/Energia!$D$31</f>
        <v>0.271823180580276</v>
      </c>
      <c r="E34" s="18" t="n">
        <f aca="false">Energia!$E$20/Energia!$E$31</f>
        <v>0.352347354286353</v>
      </c>
      <c r="F34" s="2"/>
    </row>
    <row r="35" customFormat="false" ht="15" hidden="false" customHeight="false" outlineLevel="0" collapsed="false">
      <c r="A35" s="6" t="s">
        <v>480</v>
      </c>
      <c r="B35" s="7" t="s">
        <v>23</v>
      </c>
      <c r="C35" s="17" t="n">
        <f aca="false">Energia!$C$17/Energia!$C$27</f>
        <v>1.27476731441065</v>
      </c>
      <c r="D35" s="17" t="n">
        <f aca="false">Energia!$D$17/Energia!$D$27</f>
        <v>1.47185983346454</v>
      </c>
      <c r="E35" s="17" t="n">
        <f aca="false">Energia!$E$17/Energia!$E$27</f>
        <v>1.71582417404399</v>
      </c>
      <c r="F35" s="42" t="s">
        <v>481</v>
      </c>
    </row>
    <row r="36" customFormat="false" ht="15" hidden="false" customHeight="false" outlineLevel="0" collapsed="false">
      <c r="A36" s="14" t="s">
        <v>482</v>
      </c>
      <c r="B36" s="7" t="s">
        <v>35</v>
      </c>
      <c r="C36" s="52" t="n">
        <f aca="false">MAX(0,Energia!$C$31-Energia!$C$20)</f>
        <v>52.092907245246</v>
      </c>
      <c r="D36" s="52" t="n">
        <f aca="false">MAX(0,Energia!$D$31-Energia!$D$20)</f>
        <v>42.6602076541013</v>
      </c>
      <c r="E36" s="52" t="n">
        <f aca="false">MAX(0,Energia!$E$31-Energia!$E$20)</f>
        <v>34.6155248827299</v>
      </c>
      <c r="F36" s="2"/>
    </row>
    <row r="37" customFormat="false" ht="15" hidden="false" customHeight="false" outlineLevel="0" collapsed="false">
      <c r="A37" s="9" t="s">
        <v>483</v>
      </c>
      <c r="B37" s="10" t="s">
        <v>16</v>
      </c>
      <c r="C37" s="53" t="n">
        <f aca="false">Energia!$C$36*Supuestos!$C$153</f>
        <v>161.488012460263</v>
      </c>
      <c r="D37" s="53" t="n">
        <f aca="false">Energia!$D$36*Supuestos!$D$153</f>
        <v>119.448581431484</v>
      </c>
      <c r="E37" s="53" t="n">
        <f aca="false">Energia!$E$36*Supuestos!$E$153</f>
        <v>86.5388122068248</v>
      </c>
      <c r="F37" s="2"/>
    </row>
    <row r="38" customFormat="false" ht="15" hidden="false" customHeight="false" outlineLevel="0" collapsed="false">
      <c r="A38" s="6" t="s">
        <v>484</v>
      </c>
      <c r="B38" s="7" t="s">
        <v>16</v>
      </c>
      <c r="C38" s="12" t="n">
        <f aca="false">Energia!$C$31*Supuestos!$C$153</f>
        <v>204.5493584</v>
      </c>
      <c r="D38" s="12" t="n">
        <f aca="false">Energia!$D$31*Supuestos!$D$153</f>
        <v>164.0378796</v>
      </c>
      <c r="E38" s="12" t="n">
        <f aca="false">Energia!$E$31*Supuestos!$E$153</f>
        <v>133.619175</v>
      </c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39" t="s">
        <v>485</v>
      </c>
      <c r="B40" s="40"/>
      <c r="C40" s="40"/>
      <c r="D40" s="40"/>
      <c r="E40" s="40"/>
      <c r="F40" s="40"/>
    </row>
    <row r="41" customFormat="false" ht="15" hidden="false" customHeight="false" outlineLevel="0" collapsed="false">
      <c r="A41" s="6" t="s">
        <v>486</v>
      </c>
      <c r="B41" s="7" t="s">
        <v>35</v>
      </c>
      <c r="C41" s="19" t="n">
        <f aca="false">Energia!$C$28*Supuestos!$C$152</f>
        <v>33.878871</v>
      </c>
      <c r="D41" s="19" t="n">
        <f aca="false">Energia!$D$28*Supuestos!$D$152</f>
        <v>28.859779</v>
      </c>
      <c r="E41" s="19" t="n">
        <f aca="false">Energia!$E$28*Supuestos!$E$152</f>
        <v>25.09546</v>
      </c>
      <c r="F41" s="2"/>
    </row>
    <row r="42" customFormat="false" ht="15" hidden="false" customHeight="false" outlineLevel="0" collapsed="false">
      <c r="A42" s="6" t="s">
        <v>487</v>
      </c>
      <c r="B42" s="7" t="s">
        <v>35</v>
      </c>
      <c r="C42" s="19" t="n">
        <f aca="false">Energia!$C$31-Energia!$C$41</f>
        <v>32.104793</v>
      </c>
      <c r="D42" s="19" t="n">
        <f aca="false">Energia!$D$31-Energia!$D$41</f>
        <v>29.725178</v>
      </c>
      <c r="E42" s="19" t="n">
        <f aca="false">Energia!$E$31-Energia!$E$41</f>
        <v>28.35221</v>
      </c>
      <c r="F42" s="42" t="s">
        <v>488</v>
      </c>
    </row>
    <row r="43" customFormat="false" ht="15" hidden="false" customHeight="false" outlineLevel="0" collapsed="false">
      <c r="A43" s="6" t="s">
        <v>489</v>
      </c>
      <c r="B43" s="7" t="s">
        <v>35</v>
      </c>
      <c r="C43" s="19" t="n">
        <f aca="false">MAX(0,Energia!$C$42-Energia!$C$20)</f>
        <v>18.214036245246</v>
      </c>
      <c r="D43" s="19" t="n">
        <f aca="false">MAX(0,Energia!$D$42-Energia!$D$20)</f>
        <v>13.8004286541013</v>
      </c>
      <c r="E43" s="19" t="n">
        <f aca="false">MAX(0,Energia!$E$42-Energia!$E$20)</f>
        <v>9.52006488272991</v>
      </c>
      <c r="F43" s="2"/>
    </row>
    <row r="44" customFormat="false" ht="15" hidden="false" customHeight="false" outlineLevel="0" collapsed="false">
      <c r="A44" s="14" t="s">
        <v>490</v>
      </c>
      <c r="B44" s="7" t="s">
        <v>16</v>
      </c>
      <c r="C44" s="50" t="n">
        <f aca="false">Energia!$C$43*Supuestos!$C$153</f>
        <v>56.4635123602626</v>
      </c>
      <c r="D44" s="50" t="n">
        <f aca="false">Energia!$D$43*Supuestos!$D$153</f>
        <v>38.6412002314836</v>
      </c>
      <c r="E44" s="50" t="n">
        <f aca="false">Energia!$E$43*Supuestos!$E$153</f>
        <v>23.8001622068248</v>
      </c>
      <c r="F44" s="2"/>
    </row>
    <row r="45" customFormat="false" ht="15" hidden="false" customHeight="false" outlineLevel="0" collapsed="false">
      <c r="A45" s="6" t="s">
        <v>491</v>
      </c>
      <c r="B45" s="7" t="s">
        <v>16</v>
      </c>
      <c r="C45" s="12" t="n">
        <f aca="false">Energia!$C$41*Supuestos!$C$153</f>
        <v>105.0245001</v>
      </c>
      <c r="D45" s="12" t="n">
        <f aca="false">Energia!$D$41*Supuestos!$D$153</f>
        <v>80.8073812</v>
      </c>
      <c r="E45" s="12" t="n">
        <f aca="false">Energia!$E$41*Supuestos!$E$153</f>
        <v>62.73865</v>
      </c>
      <c r="F45" s="42" t="s">
        <v>492</v>
      </c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</row>
    <row r="47" customFormat="false" ht="15" hidden="false" customHeight="false" outlineLevel="0" collapsed="false">
      <c r="A47" s="39" t="s">
        <v>493</v>
      </c>
      <c r="B47" s="40"/>
      <c r="C47" s="40"/>
      <c r="D47" s="40"/>
      <c r="E47" s="40"/>
      <c r="F47" s="40"/>
    </row>
    <row r="48" customFormat="false" ht="15" hidden="false" customHeight="false" outlineLevel="0" collapsed="false">
      <c r="A48" s="14" t="s">
        <v>494</v>
      </c>
      <c r="B48" s="7" t="s">
        <v>16</v>
      </c>
      <c r="C48" s="50" t="n">
        <f aca="false">Energia!$C$20*Supuestos!$C$153</f>
        <v>43.0613459397375</v>
      </c>
      <c r="D48" s="50" t="n">
        <f aca="false">Energia!$D$20*Supuestos!$D$153</f>
        <v>44.5892981685164</v>
      </c>
      <c r="E48" s="50" t="n">
        <f aca="false">Energia!$E$20*Supuestos!$E$153</f>
        <v>47.0803627931752</v>
      </c>
      <c r="F48" s="42" t="s">
        <v>495</v>
      </c>
    </row>
    <row r="49" customFormat="false" ht="15" hidden="false" customHeight="false" outlineLevel="0" collapsed="false">
      <c r="A49" s="6" t="s">
        <v>117</v>
      </c>
      <c r="B49" s="7" t="s">
        <v>16</v>
      </c>
      <c r="C49" s="19" t="n">
        <f aca="false">Energia!$C$20*1000*Supuestos!$C$154/10^6</f>
        <v>2.7781513509508</v>
      </c>
      <c r="D49" s="19" t="n">
        <f aca="false">Energia!$D$20*1000*Supuestos!$D$154/10^6</f>
        <v>4.77742480376961</v>
      </c>
      <c r="E49" s="19" t="n">
        <f aca="false">Energia!$E$20*1000*Supuestos!$E$154/10^6</f>
        <v>7.53285804690804</v>
      </c>
      <c r="F49" s="2"/>
    </row>
    <row r="50" customFormat="false" ht="15" hidden="false" customHeight="false" outlineLevel="0" collapsed="false">
      <c r="A50" s="6" t="s">
        <v>496</v>
      </c>
      <c r="B50" s="7" t="s">
        <v>16</v>
      </c>
      <c r="C50" s="19" t="n">
        <f aca="false">Energia!$C$16*Supuestos!$C$162/10^6</f>
        <v>3.774351</v>
      </c>
      <c r="D50" s="19" t="n">
        <f aca="false">Energia!$D$16*Supuestos!$D$162/10^6</f>
        <v>3.277725</v>
      </c>
      <c r="E50" s="19" t="n">
        <f aca="false">Energia!$E$16*Supuestos!$E$162/10^6</f>
        <v>2.728126</v>
      </c>
      <c r="F50" s="2"/>
    </row>
    <row r="51" customFormat="false" ht="15" hidden="false" customHeight="false" outlineLevel="0" collapsed="false">
      <c r="A51" s="6" t="s">
        <v>52</v>
      </c>
      <c r="B51" s="7" t="s">
        <v>53</v>
      </c>
      <c r="C51" s="12" t="n">
        <f aca="false">Energia!$C$20*1000*Supuestos!$C$155</f>
        <v>6084.15145858226</v>
      </c>
      <c r="D51" s="12" t="n">
        <f aca="false">Energia!$D$20*1000*Supuestos!$D$155</f>
        <v>6975.04021350363</v>
      </c>
      <c r="E51" s="12" t="n">
        <f aca="false">Energia!$E$20*1000*Supuestos!$E$155</f>
        <v>8248.4795613643</v>
      </c>
      <c r="F51" s="2"/>
    </row>
    <row r="52" customFormat="false" ht="15" hidden="false" customHeight="false" outlineLevel="0" collapsed="false">
      <c r="A52" s="6" t="s">
        <v>497</v>
      </c>
      <c r="B52" s="7" t="s">
        <v>498</v>
      </c>
      <c r="C52" s="54" t="n">
        <f aca="false">Supuestos!$C$8/Supuestos!$C$9</f>
        <v>1.42997180072512</v>
      </c>
      <c r="D52" s="54" t="n">
        <f aca="false">Supuestos!$D$8/Supuestos!$D$9</f>
        <v>1.42997180072512</v>
      </c>
      <c r="E52" s="54" t="n">
        <f aca="false">Supuestos!$E$8/Supuestos!$E$9</f>
        <v>1.42997180072512</v>
      </c>
      <c r="F52" s="42" t="s">
        <v>499</v>
      </c>
    </row>
    <row r="53" customFormat="false" ht="15" hidden="false" customHeight="false" outlineLevel="0" collapsed="false">
      <c r="A53" s="6" t="s">
        <v>500</v>
      </c>
      <c r="B53" s="7" t="s">
        <v>8</v>
      </c>
      <c r="C53" s="12" t="n">
        <f aca="false">(Supuestos!$C$140*Supuestos!$C$156+Energia!$C$13*Supuestos!$C$157)*Energia!$C$52/10^6</f>
        <v>475.289339677454</v>
      </c>
      <c r="D53" s="12" t="n">
        <f aca="false">(Supuestos!$D$140*Supuestos!$D$156+Energia!$D$13*Supuestos!$D$157)*Energia!$D$52/10^6</f>
        <v>478.176547121257</v>
      </c>
      <c r="E53" s="12" t="n">
        <f aca="false">(Supuestos!$E$140*Supuestos!$E$156+Energia!$E$13*Supuestos!$E$157)*Energia!$E$52/10^6</f>
        <v>481.06375456506</v>
      </c>
      <c r="F53" s="2"/>
    </row>
    <row r="54" customFormat="false" ht="15" hidden="false" customHeight="false" outlineLevel="0" collapsed="false">
      <c r="A54" s="6" t="s">
        <v>501</v>
      </c>
      <c r="B54" s="7" t="s">
        <v>8</v>
      </c>
      <c r="C54" s="12" t="n">
        <f aca="false">Energia!$C$14*Supuestos!$C$158*Energia!$C$52/10^6</f>
        <v>19.6542474150665</v>
      </c>
      <c r="D54" s="12" t="n">
        <f aca="false">Energia!$D$14*Supuestos!$D$158*Energia!$D$52/10^6</f>
        <v>20.8103796159527</v>
      </c>
      <c r="E54" s="12" t="n">
        <f aca="false">Energia!$E$14*Supuestos!$E$158*Energia!$E$52/10^6</f>
        <v>21.966511816839</v>
      </c>
      <c r="F54" s="2"/>
    </row>
    <row r="55" customFormat="false" ht="15" hidden="false" customHeight="false" outlineLevel="0" collapsed="false">
      <c r="A55" s="6" t="s">
        <v>502</v>
      </c>
      <c r="B55" s="7" t="s">
        <v>8</v>
      </c>
      <c r="C55" s="12" t="n">
        <f aca="false">(Supuestos!$C$142*Supuestos!$C$159+Energia!$C$15*Supuestos!$C$160)*Energia!$C$52/10^6</f>
        <v>324.860925050087</v>
      </c>
      <c r="D55" s="12" t="n">
        <f aca="false">(Supuestos!$D$142*Supuestos!$D$159+Energia!$D$15*Supuestos!$D$160)*Energia!$D$52/10^6</f>
        <v>324.860925050087</v>
      </c>
      <c r="E55" s="12" t="n">
        <f aca="false">(Supuestos!$E$142*Supuestos!$E$159+Energia!$E$15*Supuestos!$E$160)*Energia!$E$52/10^6</f>
        <v>324.860925050087</v>
      </c>
      <c r="F55" s="2"/>
    </row>
    <row r="56" customFormat="false" ht="15" hidden="false" customHeight="false" outlineLevel="0" collapsed="false">
      <c r="A56" s="14" t="s">
        <v>503</v>
      </c>
      <c r="B56" s="7" t="s">
        <v>8</v>
      </c>
      <c r="C56" s="50" t="n">
        <f aca="false">Energia!$C$53+Energia!$C$54+Energia!$C$55</f>
        <v>819.804512142608</v>
      </c>
      <c r="D56" s="50" t="n">
        <f aca="false">Energia!$D$53+Energia!$D$54+Energia!$D$55</f>
        <v>823.847851787297</v>
      </c>
      <c r="E56" s="50" t="n">
        <f aca="false">Energia!$E$53+Energia!$E$54+Energia!$E$55</f>
        <v>827.891191431986</v>
      </c>
      <c r="F56" s="2"/>
    </row>
    <row r="57" customFormat="false" ht="15" hidden="false" customHeight="false" outlineLevel="0" collapsed="false">
      <c r="A57" s="6" t="s">
        <v>504</v>
      </c>
      <c r="B57" s="7" t="s">
        <v>25</v>
      </c>
      <c r="C57" s="55" t="n">
        <f aca="false">Energia!$C$53/((Energia!$C$17*Supuestos!$C$153)+Energia!$C$17*1000*Supuestos!$C$154/10^6-Energia!$C$13*Supuestos!$C$162/10^6)</f>
        <v>14.001779686431</v>
      </c>
      <c r="D57" s="55" t="n">
        <f aca="false">Energia!$D$53/((Energia!$D$17*Supuestos!$D$153)+Energia!$D$17*1000*Supuestos!$D$154/10^6-Energia!$D$13*Supuestos!$D$162/10^6)</f>
        <v>12.906555591423</v>
      </c>
      <c r="E57" s="55" t="n">
        <f aca="false">Energia!$E$53/((Energia!$E$17*Supuestos!$E$153)+Energia!$E$17*1000*Supuestos!$E$154/10^6-Energia!$E$13*Supuestos!$E$162/10^6)</f>
        <v>11.5729449524088</v>
      </c>
      <c r="F57" s="2"/>
    </row>
    <row r="58" customFormat="false" ht="15" hidden="false" customHeight="false" outlineLevel="0" collapsed="false">
      <c r="A58" s="6" t="s">
        <v>505</v>
      </c>
      <c r="B58" s="7" t="s">
        <v>25</v>
      </c>
      <c r="C58" s="55" t="n">
        <f aca="false">Energia!$C$54/((Energia!$C$18*Supuestos!$C$153)+Energia!$C$18*1000*Supuestos!$C$154/10^6-Energia!$C$14*Supuestos!$C$162/10^6)</f>
        <v>5.68050217246731</v>
      </c>
      <c r="D58" s="55" t="n">
        <f aca="false">Energia!$D$54/((Energia!$D$18*Supuestos!$D$153)+Energia!$D$18*1000*Supuestos!$D$154/10^6-Energia!$D$14*Supuestos!$D$162/10^6)</f>
        <v>5.5107058807542</v>
      </c>
      <c r="E58" s="55" t="n">
        <f aca="false">Energia!$E$54/((Energia!$E$18*Supuestos!$E$153)+Energia!$E$18*1000*Supuestos!$E$154/10^6-Energia!$E$14*Supuestos!$E$162/10^6)</f>
        <v>5.18450734864269</v>
      </c>
      <c r="F58" s="2"/>
    </row>
    <row r="59" customFormat="false" ht="15" hidden="false" customHeight="false" outlineLevel="0" collapsed="false">
      <c r="A59" s="6" t="s">
        <v>506</v>
      </c>
      <c r="B59" s="7" t="s">
        <v>25</v>
      </c>
      <c r="C59" s="55" t="n">
        <f aca="false">Energia!$C$55/((Energia!$C$19*Supuestos!$C$153)+Energia!$C$19*1000*Supuestos!$C$154/10^6-Energia!$C$15*Supuestos!$C$162/10^6)</f>
        <v>69.7085475195059</v>
      </c>
      <c r="D59" s="55" t="n">
        <f aca="false">Energia!$D$55/((Energia!$D$19*Supuestos!$D$153)+Energia!$D$19*1000*Supuestos!$D$154/10^6-Energia!$D$15*Supuestos!$D$162/10^6)</f>
        <v>61.7193085465913</v>
      </c>
      <c r="E59" s="55" t="n">
        <f aca="false">Energia!$E$55/((Energia!$E$19*Supuestos!$E$153)+Energia!$E$19*1000*Supuestos!$E$154/10^6-Energia!$E$15*Supuestos!$E$162/10^6)</f>
        <v>53.4295032594417</v>
      </c>
      <c r="F59" s="42" t="s">
        <v>507</v>
      </c>
    </row>
    <row r="60" customFormat="false" ht="15" hidden="false" customHeight="false" outlineLevel="0" collapsed="false">
      <c r="A60" s="6" t="s">
        <v>508</v>
      </c>
      <c r="B60" s="7" t="s">
        <v>8</v>
      </c>
      <c r="C60" s="12" t="n">
        <f aca="false">Supuestos!$C$140*Supuestos!$C$161*Energia!$C$52/10^6</f>
        <v>1065.51703283201</v>
      </c>
      <c r="D60" s="12" t="n">
        <f aca="false">Supuestos!$D$140*Supuestos!$D$161*Energia!$D$52/10^6</f>
        <v>1065.51703283201</v>
      </c>
      <c r="E60" s="12" t="n">
        <f aca="false">Supuestos!$E$140*Supuestos!$E$161*Energia!$E$52/10^6</f>
        <v>1065.51703283201</v>
      </c>
      <c r="F60" s="42" t="s">
        <v>509</v>
      </c>
    </row>
    <row r="61" customFormat="false" ht="15" hidden="false" customHeight="false" outlineLevel="0" collapsed="false">
      <c r="A61" s="14" t="s">
        <v>510</v>
      </c>
      <c r="B61" s="7" t="s">
        <v>25</v>
      </c>
      <c r="C61" s="15" t="n">
        <f aca="false">Energia!$C$56/(Energia!$C$48+Energia!$C$49-Energia!$C$50)</f>
        <v>19.4889257362237</v>
      </c>
      <c r="D61" s="15" t="n">
        <f aca="false">Energia!$D$56/(Energia!$D$48+Energia!$D$49-Energia!$D$50)</f>
        <v>17.875152162837</v>
      </c>
      <c r="E61" s="15" t="n">
        <f aca="false">Energia!$E$56/(Energia!$E$48+Energia!$E$49-Energia!$E$50)</f>
        <v>15.9562431943828</v>
      </c>
      <c r="F6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511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512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513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475</v>
      </c>
      <c r="B7" s="7" t="s">
        <v>363</v>
      </c>
      <c r="C7" s="12" t="n">
        <f aca="false">Supuestos!$C$165*Eventos!$C$63+Supuestos!$C$166</f>
        <v>78400</v>
      </c>
      <c r="D7" s="12" t="n">
        <f aca="false">Supuestos!$D$165*Eventos!$D$63+Supuestos!$D$166</f>
        <v>91800</v>
      </c>
      <c r="E7" s="12" t="n">
        <f aca="false">Supuestos!$E$165*Eventos!$E$63+Supuestos!$E$166</f>
        <v>105000</v>
      </c>
      <c r="F7" s="2"/>
    </row>
    <row r="8" customFormat="false" ht="15" hidden="false" customHeight="false" outlineLevel="0" collapsed="false">
      <c r="A8" s="6" t="s">
        <v>73</v>
      </c>
      <c r="B8" s="7" t="s">
        <v>363</v>
      </c>
      <c r="C8" s="12" t="n">
        <f aca="false">Supuestos!$C$102*Supuestos!$C$167</f>
        <v>231650.4</v>
      </c>
      <c r="D8" s="12" t="n">
        <f aca="false">Supuestos!$D$102*Supuestos!$D$167</f>
        <v>212346.2</v>
      </c>
      <c r="E8" s="12" t="n">
        <f aca="false">Supuestos!$E$102*Supuestos!$E$167</f>
        <v>193042</v>
      </c>
      <c r="F8" s="2"/>
    </row>
    <row r="9" customFormat="false" ht="15" hidden="false" customHeight="false" outlineLevel="0" collapsed="false">
      <c r="A9" s="6" t="s">
        <v>514</v>
      </c>
      <c r="B9" s="7" t="s">
        <v>363</v>
      </c>
      <c r="C9" s="12" t="n">
        <f aca="false">Supuestos!$C$168*Supuestos!$C$169</f>
        <v>30769.75</v>
      </c>
      <c r="D9" s="12" t="n">
        <f aca="false">Supuestos!$D$168*Supuestos!$D$169</f>
        <v>28531.95</v>
      </c>
      <c r="E9" s="12" t="n">
        <f aca="false">Supuestos!$E$168*Supuestos!$E$169</f>
        <v>25175.25</v>
      </c>
      <c r="F9" s="2"/>
    </row>
    <row r="10" customFormat="false" ht="15" hidden="false" customHeight="false" outlineLevel="0" collapsed="false">
      <c r="A10" s="14" t="s">
        <v>515</v>
      </c>
      <c r="B10" s="7" t="s">
        <v>363</v>
      </c>
      <c r="C10" s="50" t="n">
        <f aca="false">Agua!$C$7+Agua!$C$8+Agua!$C$9</f>
        <v>340820.15</v>
      </c>
      <c r="D10" s="50" t="n">
        <f aca="false">Agua!$D$7+Agua!$D$8+Agua!$D$9</f>
        <v>332678.15</v>
      </c>
      <c r="E10" s="50" t="n">
        <f aca="false">Agua!$E$7+Agua!$E$8+Agua!$E$9</f>
        <v>323217.25</v>
      </c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false" outlineLevel="0" collapsed="false">
      <c r="A12" s="39" t="s">
        <v>516</v>
      </c>
      <c r="B12" s="40"/>
      <c r="C12" s="40"/>
      <c r="D12" s="40"/>
      <c r="E12" s="40"/>
      <c r="F12" s="40"/>
    </row>
    <row r="13" customFormat="false" ht="15" hidden="false" customHeight="false" outlineLevel="0" collapsed="false">
      <c r="A13" s="6" t="s">
        <v>517</v>
      </c>
      <c r="B13" s="7" t="s">
        <v>363</v>
      </c>
      <c r="C13" s="12" t="n">
        <f aca="false">Supuestos!$C$170*Supuestos!$C$171*Supuestos!$C$172</f>
        <v>46984.8</v>
      </c>
      <c r="D13" s="12" t="n">
        <f aca="false">Supuestos!$D$170*Supuestos!$D$171*Supuestos!$D$172</f>
        <v>54815.6</v>
      </c>
      <c r="E13" s="12" t="n">
        <f aca="false">Supuestos!$E$170*Supuestos!$E$171*Supuestos!$E$172</f>
        <v>62646.4</v>
      </c>
      <c r="F13" s="42" t="s">
        <v>518</v>
      </c>
    </row>
    <row r="14" customFormat="false" ht="15" hidden="false" customHeight="false" outlineLevel="0" collapsed="false">
      <c r="A14" s="6" t="s">
        <v>374</v>
      </c>
      <c r="B14" s="7" t="s">
        <v>363</v>
      </c>
      <c r="C14" s="12" t="n">
        <f aca="false">(Agua!$C$7+Agua!$C$8)*Supuestos!$C$173</f>
        <v>93015.12</v>
      </c>
      <c r="D14" s="12" t="n">
        <f aca="false">(Agua!$D$7+Agua!$D$8)*Supuestos!$D$173</f>
        <v>121658.48</v>
      </c>
      <c r="E14" s="12" t="n">
        <f aca="false">(Agua!$E$7+Agua!$E$8)*Supuestos!$E$173</f>
        <v>149021</v>
      </c>
      <c r="F14" s="2"/>
    </row>
    <row r="15" customFormat="false" ht="15" hidden="false" customHeight="false" outlineLevel="0" collapsed="false">
      <c r="A15" s="14" t="s">
        <v>519</v>
      </c>
      <c r="B15" s="7" t="s">
        <v>363</v>
      </c>
      <c r="C15" s="50" t="n">
        <f aca="false">MAX(0,Agua!$C$10-Agua!$C$13-Agua!$C$14)</f>
        <v>200820.23</v>
      </c>
      <c r="D15" s="50" t="n">
        <f aca="false">MAX(0,Agua!$D$10-Agua!$D$13-Agua!$D$14)</f>
        <v>156204.07</v>
      </c>
      <c r="E15" s="50" t="n">
        <f aca="false">MAX(0,Agua!$E$10-Agua!$E$13-Agua!$E$14)</f>
        <v>111549.85</v>
      </c>
      <c r="F15" s="2"/>
    </row>
    <row r="16" customFormat="false" ht="15" hidden="false" customHeight="false" outlineLevel="0" collapsed="false">
      <c r="A16" s="14" t="s">
        <v>520</v>
      </c>
      <c r="B16" s="7" t="s">
        <v>23</v>
      </c>
      <c r="C16" s="18" t="n">
        <f aca="false">1-Agua!$C$15/Agua!$C$10</f>
        <v>0.410773600093774</v>
      </c>
      <c r="D16" s="18" t="n">
        <f aca="false">1-Agua!$D$15/Agua!$D$10</f>
        <v>0.530464895274908</v>
      </c>
      <c r="E16" s="18" t="n">
        <f aca="false">1-Agua!$E$15/Agua!$E$10</f>
        <v>0.654876557485716</v>
      </c>
      <c r="F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</row>
    <row r="18" customFormat="false" ht="15" hidden="false" customHeight="false" outlineLevel="0" collapsed="false">
      <c r="A18" s="39" t="s">
        <v>521</v>
      </c>
      <c r="B18" s="40"/>
      <c r="C18" s="40"/>
      <c r="D18" s="40"/>
      <c r="E18" s="40"/>
      <c r="F18" s="40"/>
    </row>
    <row r="19" customFormat="false" ht="15" hidden="false" customHeight="false" outlineLevel="0" collapsed="false">
      <c r="A19" s="6" t="s">
        <v>522</v>
      </c>
      <c r="B19" s="7" t="s">
        <v>16</v>
      </c>
      <c r="C19" s="19" t="n">
        <f aca="false">Agua!$C$15*Supuestos!$C$174/10^6</f>
        <v>11.04511265</v>
      </c>
      <c r="D19" s="19" t="n">
        <f aca="false">Agua!$D$15*Supuestos!$D$174/10^6</f>
        <v>7.02918315</v>
      </c>
      <c r="E19" s="19" t="n">
        <f aca="false">Agua!$E$15*Supuestos!$E$174/10^6</f>
        <v>3.90424475</v>
      </c>
      <c r="F19" s="2"/>
    </row>
    <row r="20" customFormat="false" ht="15" hidden="false" customHeight="false" outlineLevel="0" collapsed="false">
      <c r="A20" s="6" t="s">
        <v>523</v>
      </c>
      <c r="B20" s="7" t="s">
        <v>16</v>
      </c>
      <c r="C20" s="19" t="n">
        <f aca="false">Agua!$C$14*Supuestos!$C$175/10^6</f>
        <v>1.11618144</v>
      </c>
      <c r="D20" s="19" t="n">
        <f aca="false">Agua!$D$14*Supuestos!$D$175/10^6</f>
        <v>1.2165848</v>
      </c>
      <c r="E20" s="19" t="n">
        <f aca="false">Agua!$E$14*Supuestos!$E$175/10^6</f>
        <v>1.192168</v>
      </c>
      <c r="F20" s="2"/>
    </row>
    <row r="21" customFormat="false" ht="15" hidden="false" customHeight="false" outlineLevel="0" collapsed="false">
      <c r="A21" s="14" t="s">
        <v>524</v>
      </c>
      <c r="B21" s="7" t="s">
        <v>16</v>
      </c>
      <c r="C21" s="52" t="n">
        <f aca="false">Agua!$C$19+Agua!$C$20</f>
        <v>12.16129409</v>
      </c>
      <c r="D21" s="52" t="n">
        <f aca="false">Agua!$D$19+Agua!$D$20</f>
        <v>8.24576795</v>
      </c>
      <c r="E21" s="52" t="n">
        <f aca="false">Agua!$E$19+Agua!$E$20</f>
        <v>5.09641275</v>
      </c>
      <c r="F21" s="42" t="s">
        <v>525</v>
      </c>
    </row>
    <row r="22" customFormat="false" ht="15" hidden="false" customHeight="false" outlineLevel="0" collapsed="false">
      <c r="A22" s="6" t="s">
        <v>526</v>
      </c>
      <c r="B22" s="7" t="s">
        <v>16</v>
      </c>
      <c r="C22" s="19" t="n">
        <f aca="false">(Agua!$C$13+Agua!$C$14)*Supuestos!$C$174/10^6-Agua!$C$20</f>
        <v>6.58381416</v>
      </c>
      <c r="D22" s="19" t="n">
        <f aca="false">(Agua!$D$13+Agua!$D$14)*Supuestos!$D$174/10^6-Agua!$D$20</f>
        <v>6.7247488</v>
      </c>
      <c r="E22" s="19" t="n">
        <f aca="false">(Agua!$E$13+Agua!$E$14)*Supuestos!$E$174/10^6-Agua!$E$20</f>
        <v>6.216191</v>
      </c>
      <c r="F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527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528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529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88</v>
      </c>
      <c r="B7" s="7" t="s">
        <v>16</v>
      </c>
      <c r="C7" s="12" t="n">
        <f aca="false">Eventos!$C$10*Supuestos!$C$29</f>
        <v>42.75</v>
      </c>
      <c r="D7" s="12" t="n">
        <f aca="false">Eventos!$D$10*Supuestos!$D$29</f>
        <v>100.224</v>
      </c>
      <c r="E7" s="12" t="n">
        <f aca="false">Eventos!$E$10*Supuestos!$E$29</f>
        <v>214.2</v>
      </c>
      <c r="F7" s="42" t="s">
        <v>171</v>
      </c>
    </row>
    <row r="8" customFormat="false" ht="15" hidden="false" customHeight="false" outlineLevel="0" collapsed="false">
      <c r="A8" s="6" t="s">
        <v>106</v>
      </c>
      <c r="B8" s="7" t="s">
        <v>16</v>
      </c>
      <c r="C8" s="12" t="n">
        <f aca="false">Eventos!$C$18*Supuestos!$C$34</f>
        <v>11.76</v>
      </c>
      <c r="D8" s="12" t="n">
        <f aca="false">Eventos!$D$18*Supuestos!$D$34</f>
        <v>30.6</v>
      </c>
      <c r="E8" s="12" t="n">
        <f aca="false">Eventos!$E$18*Supuestos!$E$34</f>
        <v>64.8</v>
      </c>
      <c r="F8" s="42" t="s">
        <v>171</v>
      </c>
    </row>
    <row r="9" customFormat="false" ht="15" hidden="false" customHeight="false" outlineLevel="0" collapsed="false">
      <c r="A9" s="6" t="s">
        <v>80</v>
      </c>
      <c r="B9" s="7" t="s">
        <v>16</v>
      </c>
      <c r="C9" s="12" t="n">
        <f aca="false">Eventos!$C$26*Supuestos!$C$39</f>
        <v>87.04</v>
      </c>
      <c r="D9" s="12" t="n">
        <f aca="false">Eventos!$D$26*Supuestos!$D$39</f>
        <v>242.88</v>
      </c>
      <c r="E9" s="12" t="n">
        <f aca="false">Eventos!$E$26*Supuestos!$E$39</f>
        <v>561.6</v>
      </c>
      <c r="F9" s="42" t="s">
        <v>530</v>
      </c>
    </row>
    <row r="10" customFormat="false" ht="15" hidden="false" customHeight="false" outlineLevel="0" collapsed="false">
      <c r="A10" s="6" t="s">
        <v>97</v>
      </c>
      <c r="B10" s="7" t="s">
        <v>16</v>
      </c>
      <c r="C10" s="12" t="n">
        <f aca="false">Eventos!$C$31*Supuestos!$C$44</f>
        <v>0</v>
      </c>
      <c r="D10" s="12" t="n">
        <f aca="false">Eventos!$D$31*Supuestos!$D$44</f>
        <v>60</v>
      </c>
      <c r="E10" s="12" t="n">
        <f aca="false">Eventos!$E$31*Supuestos!$E$44</f>
        <v>80</v>
      </c>
      <c r="F10" s="2"/>
    </row>
    <row r="11" customFormat="false" ht="15" hidden="false" customHeight="false" outlineLevel="0" collapsed="false">
      <c r="A11" s="6" t="s">
        <v>90</v>
      </c>
      <c r="B11" s="7" t="s">
        <v>16</v>
      </c>
      <c r="C11" s="12" t="n">
        <f aca="false">Eventos!$C$39*Supuestos!$C$49</f>
        <v>40</v>
      </c>
      <c r="D11" s="12" t="n">
        <f aca="false">Eventos!$D$39*Supuestos!$D$49</f>
        <v>90</v>
      </c>
      <c r="E11" s="12" t="n">
        <f aca="false">Eventos!$E$39*Supuestos!$E$49</f>
        <v>200</v>
      </c>
      <c r="F11" s="2"/>
    </row>
    <row r="12" customFormat="false" ht="15" hidden="false" customHeight="false" outlineLevel="0" collapsed="false">
      <c r="A12" s="6" t="s">
        <v>108</v>
      </c>
      <c r="B12" s="7" t="s">
        <v>16</v>
      </c>
      <c r="C12" s="12" t="n">
        <f aca="false">Eventos!$C$47*Supuestos!$C$54</f>
        <v>8</v>
      </c>
      <c r="D12" s="12" t="n">
        <f aca="false">Eventos!$D$47*Supuestos!$D$54</f>
        <v>24</v>
      </c>
      <c r="E12" s="12" t="n">
        <f aca="false">Eventos!$E$47*Supuestos!$E$54</f>
        <v>72</v>
      </c>
      <c r="F12" s="2"/>
    </row>
    <row r="13" customFormat="false" ht="15" hidden="false" customHeight="false" outlineLevel="0" collapsed="false">
      <c r="A13" s="6" t="s">
        <v>109</v>
      </c>
      <c r="B13" s="7" t="s">
        <v>16</v>
      </c>
      <c r="C13" s="12" t="n">
        <f aca="false">Eventos!$C$55*Supuestos!$C$59</f>
        <v>8</v>
      </c>
      <c r="D13" s="12" t="n">
        <f aca="false">Eventos!$D$55*Supuestos!$D$59</f>
        <v>24</v>
      </c>
      <c r="E13" s="12" t="n">
        <f aca="false">Eventos!$E$55*Supuestos!$E$59</f>
        <v>48</v>
      </c>
      <c r="F13" s="2"/>
    </row>
    <row r="14" customFormat="false" ht="15" hidden="false" customHeight="false" outlineLevel="0" collapsed="false">
      <c r="A14" s="6" t="s">
        <v>91</v>
      </c>
      <c r="B14" s="7" t="s">
        <v>16</v>
      </c>
      <c r="C14" s="12" t="n">
        <f aca="false">Eventos!$C$65*Supuestos!$C$65/10^6</f>
        <v>37.2</v>
      </c>
      <c r="D14" s="12" t="n">
        <f aca="false">Eventos!$D$65*Supuestos!$D$65/10^6</f>
        <v>88.1</v>
      </c>
      <c r="E14" s="12" t="n">
        <f aca="false">Eventos!$E$65*Supuestos!$E$65/10^6</f>
        <v>214.55</v>
      </c>
      <c r="F14" s="42" t="s">
        <v>531</v>
      </c>
    </row>
    <row r="15" customFormat="false" ht="15" hidden="false" customHeight="false" outlineLevel="0" collapsed="false">
      <c r="A15" s="6" t="s">
        <v>85</v>
      </c>
      <c r="B15" s="7" t="s">
        <v>16</v>
      </c>
      <c r="C15" s="12" t="n">
        <f aca="false">Eventos!$C$66*Supuestos!$C$66</f>
        <v>39.53</v>
      </c>
      <c r="D15" s="12" t="n">
        <f aca="false">Eventos!$D$66*Supuestos!$D$66</f>
        <v>136.908</v>
      </c>
      <c r="E15" s="12" t="n">
        <f aca="false">Eventos!$E$66*Supuestos!$E$66</f>
        <v>357.92</v>
      </c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false" outlineLevel="0" collapsed="false">
      <c r="A17" s="39" t="s">
        <v>532</v>
      </c>
      <c r="B17" s="40"/>
      <c r="C17" s="40"/>
      <c r="D17" s="40"/>
      <c r="E17" s="40"/>
      <c r="F17" s="40"/>
    </row>
    <row r="18" customFormat="false" ht="15" hidden="false" customHeight="false" outlineLevel="0" collapsed="false">
      <c r="A18" s="6" t="s">
        <v>76</v>
      </c>
      <c r="B18" s="7" t="s">
        <v>16</v>
      </c>
      <c r="C18" s="12" t="n">
        <f aca="false">Eventos!$C$67*Supuestos!$C$62</f>
        <v>154.8925</v>
      </c>
      <c r="D18" s="12" t="n">
        <f aca="false">Eventos!$D$67*Supuestos!$D$62</f>
        <v>387.616</v>
      </c>
      <c r="E18" s="12" t="n">
        <f aca="false">Eventos!$E$67*Supuestos!$E$62</f>
        <v>883.17</v>
      </c>
      <c r="F18" s="2"/>
    </row>
    <row r="19" customFormat="false" ht="15" hidden="false" customHeight="false" outlineLevel="0" collapsed="false">
      <c r="A19" s="6" t="s">
        <v>107</v>
      </c>
      <c r="B19" s="7" t="s">
        <v>16</v>
      </c>
      <c r="C19" s="12" t="n">
        <f aca="false">Eventos!$C$68*Supuestos!$C$64</f>
        <v>8.78</v>
      </c>
      <c r="D19" s="12" t="n">
        <f aca="false">Eventos!$D$68*Supuestos!$D$64</f>
        <v>26.9424</v>
      </c>
      <c r="E19" s="12" t="n">
        <f aca="false">Eventos!$E$68*Supuestos!$E$64</f>
        <v>69.66</v>
      </c>
      <c r="F19" s="2"/>
    </row>
    <row r="20" customFormat="false" ht="15" hidden="false" customHeight="false" outlineLevel="0" collapsed="false">
      <c r="A20" s="6" t="s">
        <v>92</v>
      </c>
      <c r="B20" s="7" t="s">
        <v>16</v>
      </c>
      <c r="C20" s="12" t="n">
        <f aca="false">Supuestos!$C$67*Eventos!$C$63*Supuestos!$C$68*Supuestos!$C$69/10^6</f>
        <v>31.5</v>
      </c>
      <c r="D20" s="12" t="n">
        <f aca="false">Supuestos!$D$67*Eventos!$D$63*Supuestos!$D$68*Supuestos!$D$69/10^6</f>
        <v>87</v>
      </c>
      <c r="E20" s="12" t="n">
        <f aca="false">Supuestos!$E$67*Eventos!$E$63*Supuestos!$E$68*Supuestos!$E$69/10^6</f>
        <v>202.125</v>
      </c>
      <c r="F20" s="2"/>
    </row>
    <row r="21" customFormat="false" ht="15" hidden="false" customHeight="false" outlineLevel="0" collapsed="false">
      <c r="A21" s="6" t="s">
        <v>95</v>
      </c>
      <c r="B21" s="7" t="s">
        <v>16</v>
      </c>
      <c r="C21" s="12" t="n">
        <f aca="false">Eventos!$C$69*Supuestos!$C$71/10^6</f>
        <v>30.73</v>
      </c>
      <c r="D21" s="12" t="n">
        <f aca="false">Eventos!$D$69*Supuestos!$D$71/10^6</f>
        <v>69.152</v>
      </c>
      <c r="E21" s="12" t="n">
        <f aca="false">Eventos!$E$69*Supuestos!$E$71/10^6</f>
        <v>127.2888</v>
      </c>
      <c r="F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</row>
    <row r="23" customFormat="false" ht="15" hidden="false" customHeight="false" outlineLevel="0" collapsed="false">
      <c r="A23" s="39" t="s">
        <v>533</v>
      </c>
      <c r="B23" s="40"/>
      <c r="C23" s="40"/>
      <c r="D23" s="40"/>
      <c r="E23" s="40"/>
      <c r="F23" s="40"/>
    </row>
    <row r="24" customFormat="false" ht="15" hidden="false" customHeight="false" outlineLevel="0" collapsed="false">
      <c r="A24" s="6" t="s">
        <v>74</v>
      </c>
      <c r="B24" s="7" t="s">
        <v>16</v>
      </c>
      <c r="C24" s="12" t="n">
        <f aca="false">Supuestos!$C$76*Supuestos!$C$77*Supuestos!$C$78</f>
        <v>224</v>
      </c>
      <c r="D24" s="12" t="n">
        <f aca="false">Supuestos!$D$76*Supuestos!$D$77*Supuestos!$D$78</f>
        <v>405</v>
      </c>
      <c r="E24" s="12" t="n">
        <f aca="false">Supuestos!$E$76*Supuestos!$E$77*Supuestos!$E$78</f>
        <v>585.2</v>
      </c>
      <c r="F24" s="2"/>
    </row>
    <row r="25" customFormat="false" ht="15" hidden="false" customHeight="false" outlineLevel="0" collapsed="false">
      <c r="A25" s="6" t="s">
        <v>83</v>
      </c>
      <c r="B25" s="7" t="s">
        <v>16</v>
      </c>
      <c r="C25" s="12" t="n">
        <f aca="false">Supuestos!$C$79*Supuestos!$C$80*Supuestos!$C$81/10^6</f>
        <v>101.25</v>
      </c>
      <c r="D25" s="12" t="n">
        <f aca="false">Supuestos!$D$79*Supuestos!$D$80*Supuestos!$D$81/10^6</f>
        <v>204</v>
      </c>
      <c r="E25" s="12" t="n">
        <f aca="false">Supuestos!$E$79*Supuestos!$E$80*Supuestos!$E$81/10^6</f>
        <v>356.25</v>
      </c>
      <c r="F25" s="2"/>
    </row>
    <row r="26" customFormat="false" ht="15" hidden="false" customHeight="false" outlineLevel="0" collapsed="false">
      <c r="A26" s="6" t="s">
        <v>87</v>
      </c>
      <c r="B26" s="7" t="s">
        <v>16</v>
      </c>
      <c r="C26" s="12" t="n">
        <f aca="false">Supuestos!$C$82*Supuestos!$C$7</f>
        <v>74</v>
      </c>
      <c r="D26" s="12" t="n">
        <f aca="false">Supuestos!$D$82*Supuestos!$D$7</f>
        <v>111</v>
      </c>
      <c r="E26" s="12" t="n">
        <f aca="false">Supuestos!$E$82*Supuestos!$E$7</f>
        <v>148</v>
      </c>
      <c r="F26" s="2"/>
    </row>
    <row r="27" customFormat="false" ht="15" hidden="false" customHeight="false" outlineLevel="0" collapsed="false">
      <c r="A27" s="6" t="s">
        <v>84</v>
      </c>
      <c r="B27" s="7" t="s">
        <v>16</v>
      </c>
      <c r="C27" s="8" t="n">
        <f aca="false">Supuestos!$C$83</f>
        <v>100</v>
      </c>
      <c r="D27" s="8" t="n">
        <f aca="false">Supuestos!$D$83</f>
        <v>150</v>
      </c>
      <c r="E27" s="8" t="n">
        <f aca="false">Supuestos!$E$83</f>
        <v>200</v>
      </c>
      <c r="F27" s="2"/>
    </row>
    <row r="28" customFormat="false" ht="15" hidden="false" customHeight="false" outlineLevel="0" collapsed="false">
      <c r="A28" s="6" t="s">
        <v>104</v>
      </c>
      <c r="B28" s="7" t="s">
        <v>16</v>
      </c>
      <c r="C28" s="8" t="n">
        <f aca="false">Supuestos!$C$84</f>
        <v>20</v>
      </c>
      <c r="D28" s="8" t="n">
        <f aca="false">Supuestos!$D$84</f>
        <v>35</v>
      </c>
      <c r="E28" s="8" t="n">
        <f aca="false">Supuestos!$E$84</f>
        <v>50</v>
      </c>
      <c r="F28" s="2"/>
    </row>
    <row r="29" customFormat="false" ht="15" hidden="false" customHeight="false" outlineLevel="0" collapsed="false">
      <c r="A29" s="6" t="s">
        <v>98</v>
      </c>
      <c r="B29" s="7" t="s">
        <v>16</v>
      </c>
      <c r="C29" s="8" t="n">
        <f aca="false">Supuestos!$C$85</f>
        <v>40</v>
      </c>
      <c r="D29" s="8" t="n">
        <f aca="false">Supuestos!$D$85</f>
        <v>60</v>
      </c>
      <c r="E29" s="8" t="n">
        <f aca="false">Supuestos!$E$85</f>
        <v>90</v>
      </c>
      <c r="F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</row>
    <row r="31" customFormat="false" ht="15" hidden="false" customHeight="false" outlineLevel="0" collapsed="false">
      <c r="A31" s="39" t="s">
        <v>534</v>
      </c>
      <c r="B31" s="40"/>
      <c r="C31" s="40"/>
      <c r="D31" s="40"/>
      <c r="E31" s="40"/>
      <c r="F31" s="40"/>
    </row>
    <row r="32" customFormat="false" ht="15" hidden="false" customHeight="false" outlineLevel="0" collapsed="false">
      <c r="A32" s="6" t="s">
        <v>103</v>
      </c>
      <c r="B32" s="7" t="s">
        <v>16</v>
      </c>
      <c r="C32" s="12" t="n">
        <f aca="false">Supuestos!$C$88*Supuestos!$C$89/10^6</f>
        <v>20</v>
      </c>
      <c r="D32" s="12" t="n">
        <f aca="false">Supuestos!$D$88*Supuestos!$D$89/10^6</f>
        <v>37.5</v>
      </c>
      <c r="E32" s="12" t="n">
        <f aca="false">Supuestos!$E$88*Supuestos!$E$89/10^6</f>
        <v>66</v>
      </c>
      <c r="F32" s="2"/>
    </row>
    <row r="33" customFormat="false" ht="15" hidden="false" customHeight="false" outlineLevel="0" collapsed="false">
      <c r="A33" s="6" t="s">
        <v>105</v>
      </c>
      <c r="B33" s="7" t="s">
        <v>16</v>
      </c>
      <c r="C33" s="12" t="n">
        <f aca="false">Supuestos!$C$90*Supuestos!$C$91/10^6</f>
        <v>18</v>
      </c>
      <c r="D33" s="12" t="n">
        <f aca="false">Supuestos!$D$90*Supuestos!$D$91/10^6</f>
        <v>33</v>
      </c>
      <c r="E33" s="12" t="n">
        <f aca="false">Supuestos!$E$90*Supuestos!$E$91/10^6</f>
        <v>58.5</v>
      </c>
      <c r="F33" s="2"/>
    </row>
    <row r="34" customFormat="false" ht="15" hidden="false" customHeight="false" outlineLevel="0" collapsed="false">
      <c r="A34" s="6" t="s">
        <v>100</v>
      </c>
      <c r="B34" s="7" t="s">
        <v>16</v>
      </c>
      <c r="C34" s="12" t="n">
        <f aca="false">Supuestos!$C$92*Supuestos!$C$93/10^6</f>
        <v>21.6</v>
      </c>
      <c r="D34" s="12" t="n">
        <f aca="false">Supuestos!$D$92*Supuestos!$D$93/10^6</f>
        <v>50</v>
      </c>
      <c r="E34" s="12" t="n">
        <f aca="false">Supuestos!$E$92*Supuestos!$E$93/10^6</f>
        <v>96</v>
      </c>
      <c r="F34" s="2"/>
    </row>
    <row r="35" customFormat="false" ht="15" hidden="false" customHeight="false" outlineLevel="0" collapsed="false">
      <c r="A35" s="6" t="s">
        <v>116</v>
      </c>
      <c r="B35" s="7" t="s">
        <v>16</v>
      </c>
      <c r="C35" s="12" t="n">
        <f aca="false">Supuestos!$C$94*Supuestos!$C$95/10^6</f>
        <v>4.8</v>
      </c>
      <c r="D35" s="12" t="n">
        <f aca="false">Supuestos!$D$94*Supuestos!$D$95/10^6</f>
        <v>9</v>
      </c>
      <c r="E35" s="12" t="n">
        <f aca="false">Supuestos!$E$94*Supuestos!$E$95/10^6</f>
        <v>14.4</v>
      </c>
      <c r="F35" s="2"/>
    </row>
    <row r="36" customFormat="false" ht="15" hidden="false" customHeight="false" outlineLevel="0" collapsed="false">
      <c r="A36" s="6" t="s">
        <v>110</v>
      </c>
      <c r="B36" s="7" t="s">
        <v>16</v>
      </c>
      <c r="C36" s="8" t="n">
        <f aca="false">Supuestos!$C$96</f>
        <v>10</v>
      </c>
      <c r="D36" s="8" t="n">
        <f aca="false">Supuestos!$D$96</f>
        <v>20</v>
      </c>
      <c r="E36" s="8" t="n">
        <f aca="false">Supuestos!$E$96</f>
        <v>30</v>
      </c>
      <c r="F36" s="2"/>
    </row>
    <row r="37" customFormat="false" ht="15" hidden="false" customHeight="false" outlineLevel="0" collapsed="false">
      <c r="A37" s="6" t="s">
        <v>112</v>
      </c>
      <c r="B37" s="7" t="s">
        <v>16</v>
      </c>
      <c r="C37" s="8" t="n">
        <f aca="false">Supuestos!$C$97</f>
        <v>8</v>
      </c>
      <c r="D37" s="8" t="n">
        <f aca="false">Supuestos!$D$97</f>
        <v>15</v>
      </c>
      <c r="E37" s="8" t="n">
        <f aca="false">Supuestos!$E$97</f>
        <v>25</v>
      </c>
      <c r="F37" s="2"/>
    </row>
    <row r="38" customFormat="false" ht="15" hidden="false" customHeight="false" outlineLevel="0" collapsed="false">
      <c r="A38" s="6" t="s">
        <v>115</v>
      </c>
      <c r="B38" s="7" t="s">
        <v>16</v>
      </c>
      <c r="C38" s="8" t="n">
        <f aca="false">Supuestos!$C$98</f>
        <v>6</v>
      </c>
      <c r="D38" s="8" t="n">
        <f aca="false">Supuestos!$D$98</f>
        <v>10</v>
      </c>
      <c r="E38" s="8" t="n">
        <f aca="false">Supuestos!$E$98</f>
        <v>15</v>
      </c>
      <c r="F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</row>
    <row r="40" customFormat="false" ht="15" hidden="false" customHeight="false" outlineLevel="0" collapsed="false">
      <c r="A40" s="39" t="s">
        <v>535</v>
      </c>
      <c r="B40" s="40"/>
      <c r="C40" s="40"/>
      <c r="D40" s="40"/>
      <c r="E40" s="40"/>
      <c r="F40" s="40"/>
    </row>
    <row r="41" customFormat="false" ht="15" hidden="false" customHeight="false" outlineLevel="0" collapsed="false">
      <c r="A41" s="6" t="s">
        <v>72</v>
      </c>
      <c r="B41" s="7" t="s">
        <v>16</v>
      </c>
      <c r="C41" s="12" t="n">
        <f aca="false">Supuestos!$C$102*Supuestos!$C$103*Supuestos!$C$104*Supuestos!$C$105*12*Supuestos!$C$116/10^6</f>
        <v>423.975828096</v>
      </c>
      <c r="D41" s="12" t="n">
        <f aca="false">Supuestos!$D$102*Supuestos!$D$103*Supuestos!$D$104*Supuestos!$D$105*12*Supuestos!$D$116/10^6</f>
        <v>609.819678</v>
      </c>
      <c r="E41" s="12" t="n">
        <f aca="false">Supuestos!$E$102*Supuestos!$E$103*Supuestos!$E$104*Supuestos!$E$105*12*Supuestos!$E$116/10^6</f>
        <v>808.08925536</v>
      </c>
      <c r="F41" s="2"/>
    </row>
    <row r="42" customFormat="false" ht="15" hidden="false" customHeight="false" outlineLevel="0" collapsed="false">
      <c r="A42" s="6" t="s">
        <v>78</v>
      </c>
      <c r="B42" s="7" t="s">
        <v>16</v>
      </c>
      <c r="C42" s="12" t="n">
        <f aca="false">Supuestos!$C$102*Supuestos!$C$103*Supuestos!$C$106*Supuestos!$C$107*12*Supuestos!$C$116/10^6</f>
        <v>211.987914048</v>
      </c>
      <c r="D42" s="12" t="n">
        <f aca="false">Supuestos!$D$102*Supuestos!$D$103*Supuestos!$D$106*Supuestos!$D$107*12*Supuestos!$D$116/10^6</f>
        <v>298.1340648</v>
      </c>
      <c r="E42" s="12" t="n">
        <f aca="false">Supuestos!$E$102*Supuestos!$E$103*Supuestos!$E$106*Supuestos!$E$107*12*Supuestos!$E$116/10^6</f>
        <v>389.08001184</v>
      </c>
      <c r="F42" s="2"/>
    </row>
    <row r="43" customFormat="false" ht="15" hidden="false" customHeight="false" outlineLevel="0" collapsed="false">
      <c r="A43" s="6" t="s">
        <v>96</v>
      </c>
      <c r="B43" s="7" t="s">
        <v>16</v>
      </c>
      <c r="C43" s="12" t="n">
        <f aca="false">Supuestos!$C$102*Supuestos!$C$103*Supuestos!$C$108*Supuestos!$C$109*12*Supuestos!$C$116/10^6</f>
        <v>47.108425344</v>
      </c>
      <c r="D43" s="12" t="n">
        <f aca="false">Supuestos!$D$102*Supuestos!$D$103*Supuestos!$D$108*Supuestos!$D$109*12*Supuestos!$D$116/10^6</f>
        <v>67.757742</v>
      </c>
      <c r="E43" s="12" t="n">
        <f aca="false">Supuestos!$E$102*Supuestos!$E$103*Supuestos!$E$108*Supuestos!$E$109*12*Supuestos!$E$116/10^6</f>
        <v>89.78769504</v>
      </c>
      <c r="F43" s="2"/>
    </row>
    <row r="44" customFormat="false" ht="15" hidden="false" customHeight="false" outlineLevel="0" collapsed="false">
      <c r="A44" s="6" t="s">
        <v>93</v>
      </c>
      <c r="B44" s="7" t="s">
        <v>16</v>
      </c>
      <c r="C44" s="12" t="n">
        <f aca="false">Supuestos!$C$102*Supuestos!$C$103*Supuestos!$C$110*Supuestos!$C$111*12*Supuestos!$C$116/10^6</f>
        <v>58.88553168</v>
      </c>
      <c r="D44" s="12" t="n">
        <f aca="false">Supuestos!$D$102*Supuestos!$D$103*Supuestos!$D$110*Supuestos!$D$111*12*Supuestos!$D$116/10^6</f>
        <v>81.3092904</v>
      </c>
      <c r="E44" s="12" t="n">
        <f aca="false">Supuestos!$E$102*Supuestos!$E$103*Supuestos!$E$110*Supuestos!$E$111*12*Supuestos!$E$116/10^6</f>
        <v>104.75231088</v>
      </c>
      <c r="F44" s="2"/>
    </row>
    <row r="45" customFormat="false" ht="15" hidden="false" customHeight="false" outlineLevel="0" collapsed="false">
      <c r="A45" s="6" t="s">
        <v>89</v>
      </c>
      <c r="B45" s="7" t="s">
        <v>16</v>
      </c>
      <c r="C45" s="12" t="n">
        <f aca="false">Supuestos!$C$102*Supuestos!$C$103*Supuestos!$C$112*Supuestos!$C$113*12*Supuestos!$C$116/10^6</f>
        <v>65.9517954816</v>
      </c>
      <c r="D45" s="12" t="n">
        <f aca="false">Supuestos!$D$102*Supuestos!$D$103*Supuestos!$D$112*Supuestos!$D$113*12*Supuestos!$D$116/10^6</f>
        <v>94.8608388</v>
      </c>
      <c r="E45" s="12" t="n">
        <f aca="false">Supuestos!$E$102*Supuestos!$E$103*Supuestos!$E$112*Supuestos!$E$113*12*Supuestos!$E$116/10^6</f>
        <v>125.702773056</v>
      </c>
      <c r="F45" s="2"/>
    </row>
    <row r="46" customFormat="false" ht="15" hidden="false" customHeight="false" outlineLevel="0" collapsed="false">
      <c r="A46" s="6" t="s">
        <v>79</v>
      </c>
      <c r="B46" s="7" t="s">
        <v>16</v>
      </c>
      <c r="C46" s="12" t="n">
        <f aca="false">Supuestos!$C$102*Supuestos!$C$103*Supuestos!$C$114*Supuestos!$C$115*12*Supuestos!$C$116/10^6</f>
        <v>179.0120163072</v>
      </c>
      <c r="D46" s="12" t="n">
        <f aca="false">Supuestos!$D$102*Supuestos!$D$103*Supuestos!$D$114*Supuestos!$D$115*12*Supuestos!$D$116/10^6</f>
        <v>243.9278712</v>
      </c>
      <c r="E46" s="12" t="n">
        <f aca="false">Supuestos!$E$102*Supuestos!$E$103*Supuestos!$E$114*Supuestos!$E$115*12*Supuestos!$E$116/10^6</f>
        <v>329.22154848</v>
      </c>
      <c r="F46" s="2"/>
    </row>
    <row r="47" customFormat="false" ht="15" hidden="false" customHeight="false" outlineLevel="0" collapsed="false">
      <c r="A47" s="6" t="s">
        <v>94</v>
      </c>
      <c r="B47" s="7" t="s">
        <v>16</v>
      </c>
      <c r="C47" s="12" t="n">
        <f aca="false">(Ingresos!$C$41+Ingresos!$C$42)*Supuestos!$C$117</f>
        <v>31.7981871072</v>
      </c>
      <c r="D47" s="12" t="n">
        <f aca="false">(Ingresos!$D$41+Ingresos!$D$42)*Supuestos!$D$117</f>
        <v>72.636299424</v>
      </c>
      <c r="E47" s="12" t="n">
        <f aca="false">(Ingresos!$E$41+Ingresos!$E$42)*Supuestos!$E$117</f>
        <v>119.71692672</v>
      </c>
      <c r="F47" s="2"/>
    </row>
    <row r="48" customFormat="false" ht="15" hidden="false" customHeight="false" outlineLevel="0" collapsed="false">
      <c r="A48" s="6" t="s">
        <v>111</v>
      </c>
      <c r="B48" s="7" t="s">
        <v>16</v>
      </c>
      <c r="C48" s="12" t="n">
        <f aca="false">Supuestos!$C$118*Supuestos!$C$119*12/10^6</f>
        <v>10.8</v>
      </c>
      <c r="D48" s="12" t="n">
        <f aca="false">Supuestos!$D$118*Supuestos!$D$119*12/10^6</f>
        <v>16.8</v>
      </c>
      <c r="E48" s="12" t="n">
        <f aca="false">Supuestos!$E$118*Supuestos!$E$119*12/10^6</f>
        <v>24</v>
      </c>
      <c r="F48" s="2"/>
    </row>
    <row r="49" customFormat="false" ht="15" hidden="false" customHeight="false" outlineLevel="0" collapsed="false">
      <c r="A49" s="6" t="s">
        <v>99</v>
      </c>
      <c r="B49" s="7" t="s">
        <v>16</v>
      </c>
      <c r="C49" s="8" t="n">
        <f aca="false">Supuestos!$C$120</f>
        <v>40</v>
      </c>
      <c r="D49" s="8" t="n">
        <f aca="false">Supuestos!$D$120</f>
        <v>60</v>
      </c>
      <c r="E49" s="8" t="n">
        <f aca="false">Supuestos!$E$120</f>
        <v>90</v>
      </c>
      <c r="F49" s="2"/>
    </row>
    <row r="50" customFormat="false" ht="15" hidden="false" customHeight="false" outlineLevel="0" collapsed="false">
      <c r="A50" s="6" t="s">
        <v>102</v>
      </c>
      <c r="B50" s="7" t="s">
        <v>16</v>
      </c>
      <c r="C50" s="8" t="n">
        <f aca="false">Supuestos!$C$121</f>
        <v>25</v>
      </c>
      <c r="D50" s="8" t="n">
        <f aca="false">Supuestos!$D$121</f>
        <v>40</v>
      </c>
      <c r="E50" s="8" t="n">
        <f aca="false">Supuestos!$E$121</f>
        <v>60</v>
      </c>
      <c r="F50" s="2"/>
    </row>
    <row r="51" customFormat="false" ht="15" hidden="false" customHeight="false" outlineLevel="0" collapsed="false">
      <c r="A51" s="6" t="s">
        <v>86</v>
      </c>
      <c r="B51" s="7" t="s">
        <v>16</v>
      </c>
      <c r="C51" s="12" t="n">
        <f aca="false">Supuestos!$C$123*Supuestos!$C$124*Supuestos!$C$125*Supuestos!$C$126*Eventos!$C$70/10^6</f>
        <v>69.4470672</v>
      </c>
      <c r="D51" s="12" t="n">
        <f aca="false">Supuestos!$D$123*Supuestos!$D$124*Supuestos!$D$125*Supuestos!$D$126*Eventos!$D$70/10^6</f>
        <v>125.727552</v>
      </c>
      <c r="E51" s="12" t="n">
        <f aca="false">Supuestos!$E$123*Supuestos!$E$124*Supuestos!$E$125*Supuestos!$E$126*Eventos!$E$70/10^6</f>
        <v>216.235008</v>
      </c>
      <c r="F51" s="2"/>
    </row>
    <row r="52" customFormat="false" ht="15" hidden="false" customHeight="false" outlineLevel="0" collapsed="false">
      <c r="A52" s="6" t="s">
        <v>82</v>
      </c>
      <c r="B52" s="7" t="s">
        <v>16</v>
      </c>
      <c r="C52" s="12" t="n">
        <f aca="false">Supuestos!$C$102*Supuestos!$C$103*Supuestos!$C$116*Supuestos!$C$122*12/10^6</f>
        <v>176.65659504</v>
      </c>
      <c r="D52" s="12" t="n">
        <f aca="false">Supuestos!$D$102*Supuestos!$D$103*Supuestos!$D$116*Supuestos!$D$122*12/10^6</f>
        <v>230.3763228</v>
      </c>
      <c r="E52" s="12" t="n">
        <f aca="false">Supuestos!$E$102*Supuestos!$E$103*Supuestos!$E$116*Supuestos!$E$122*12/10^6</f>
        <v>284.32770096</v>
      </c>
      <c r="F52" s="42" t="s">
        <v>536</v>
      </c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</row>
    <row r="54" customFormat="false" ht="15" hidden="false" customHeight="false" outlineLevel="0" collapsed="false">
      <c r="A54" s="39" t="s">
        <v>537</v>
      </c>
      <c r="B54" s="40"/>
      <c r="C54" s="40"/>
      <c r="D54" s="40"/>
      <c r="E54" s="40"/>
      <c r="F54" s="40"/>
    </row>
    <row r="55" customFormat="false" ht="15" hidden="false" customHeight="false" outlineLevel="0" collapsed="false">
      <c r="A55" s="6" t="s">
        <v>113</v>
      </c>
      <c r="B55" s="7" t="s">
        <v>16</v>
      </c>
      <c r="C55" s="12" t="n">
        <f aca="false">Supuestos!$C$127*Supuestos!$C$128*365*Supuestos!$C$129/10^6</f>
        <v>6.132</v>
      </c>
      <c r="D55" s="12" t="n">
        <f aca="false">Supuestos!$D$127*Supuestos!$D$128*365*Supuestos!$D$129/10^6</f>
        <v>11.388</v>
      </c>
      <c r="E55" s="12" t="n">
        <f aca="false">Supuestos!$E$127*Supuestos!$E$128*365*Supuestos!$E$129/10^6</f>
        <v>18.396</v>
      </c>
      <c r="F55" s="2"/>
    </row>
    <row r="56" customFormat="false" ht="15" hidden="false" customHeight="false" outlineLevel="0" collapsed="false">
      <c r="A56" s="6" t="s">
        <v>117</v>
      </c>
      <c r="B56" s="7" t="s">
        <v>16</v>
      </c>
      <c r="C56" s="8" t="n">
        <f aca="false">Energia!$C$49</f>
        <v>2.7781513509508</v>
      </c>
      <c r="D56" s="8" t="n">
        <f aca="false">Energia!$D$49</f>
        <v>4.77742480376961</v>
      </c>
      <c r="E56" s="8" t="n">
        <f aca="false">Energia!$E$49</f>
        <v>7.53285804690804</v>
      </c>
      <c r="F56" s="2"/>
    </row>
    <row r="57" customFormat="false" ht="15" hidden="false" customHeight="false" outlineLevel="0" collapsed="false">
      <c r="A57" s="6" t="s">
        <v>118</v>
      </c>
      <c r="B57" s="7" t="s">
        <v>16</v>
      </c>
      <c r="C57" s="8" t="n">
        <f aca="false">Supuestos!$C$99</f>
        <v>1</v>
      </c>
      <c r="D57" s="8" t="n">
        <f aca="false">Supuestos!$D$99</f>
        <v>2</v>
      </c>
      <c r="E57" s="8" t="n">
        <f aca="false">Supuestos!$E$99</f>
        <v>3</v>
      </c>
      <c r="F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</row>
    <row r="59" customFormat="false" ht="15" hidden="false" customHeight="false" outlineLevel="0" collapsed="false">
      <c r="A59" s="39" t="s">
        <v>444</v>
      </c>
      <c r="B59" s="40"/>
      <c r="C59" s="40"/>
      <c r="D59" s="40"/>
      <c r="E59" s="40"/>
      <c r="F59" s="40"/>
    </row>
    <row r="60" customFormat="false" ht="15" hidden="false" customHeight="false" outlineLevel="0" collapsed="false">
      <c r="A60" s="6" t="s">
        <v>81</v>
      </c>
      <c r="B60" s="7" t="s">
        <v>16</v>
      </c>
      <c r="C60" s="12" t="n">
        <f aca="false">Ingresos!$C$7+Ingresos!$C$8+Ingresos!$C$9+Ingresos!$C$10+Ingresos!$C$11+Ingresos!$C$12+Ingresos!$C$13+Ingresos!$C$14+Ingresos!$C$15</f>
        <v>274.28</v>
      </c>
      <c r="D60" s="12" t="n">
        <f aca="false">Ingresos!$D$7+Ingresos!$D$8+Ingresos!$D$9+Ingresos!$D$10+Ingresos!$D$11+Ingresos!$D$12+Ingresos!$D$13+Ingresos!$D$14+Ingresos!$D$15</f>
        <v>796.712</v>
      </c>
      <c r="E60" s="12" t="n">
        <f aca="false">Ingresos!$E$7+Ingresos!$E$8+Ingresos!$E$9+Ingresos!$E$10+Ingresos!$E$11+Ingresos!$E$12+Ingresos!$E$13+Ingresos!$E$14+Ingresos!$E$15</f>
        <v>1813.07</v>
      </c>
      <c r="F60" s="2"/>
    </row>
    <row r="61" customFormat="false" ht="15" hidden="false" customHeight="false" outlineLevel="0" collapsed="false">
      <c r="A61" s="6" t="s">
        <v>77</v>
      </c>
      <c r="B61" s="7" t="s">
        <v>16</v>
      </c>
      <c r="C61" s="12" t="n">
        <f aca="false">Ingresos!$C$18+Ingresos!$C$19+Ingresos!$C$20+Ingresos!$C$21</f>
        <v>225.9025</v>
      </c>
      <c r="D61" s="12" t="n">
        <f aca="false">Ingresos!$D$18+Ingresos!$D$19+Ingresos!$D$20+Ingresos!$D$21</f>
        <v>570.7104</v>
      </c>
      <c r="E61" s="12" t="n">
        <f aca="false">Ingresos!$E$18+Ingresos!$E$19+Ingresos!$E$20+Ingresos!$E$21</f>
        <v>1282.2438</v>
      </c>
      <c r="F61" s="2"/>
    </row>
    <row r="62" customFormat="false" ht="15" hidden="false" customHeight="false" outlineLevel="0" collapsed="false">
      <c r="A62" s="6" t="s">
        <v>75</v>
      </c>
      <c r="B62" s="7" t="s">
        <v>16</v>
      </c>
      <c r="C62" s="12" t="n">
        <f aca="false">Ingresos!$C$24+Ingresos!$C$25+Ingresos!$C$26+Ingresos!$C$27+Ingresos!$C$28+Ingresos!$C$29</f>
        <v>559.25</v>
      </c>
      <c r="D62" s="12" t="n">
        <f aca="false">Ingresos!$D$24+Ingresos!$D$25+Ingresos!$D$26+Ingresos!$D$27+Ingresos!$D$28+Ingresos!$D$29</f>
        <v>965</v>
      </c>
      <c r="E62" s="12" t="n">
        <f aca="false">Ingresos!$E$24+Ingresos!$E$25+Ingresos!$E$26+Ingresos!$E$27+Ingresos!$E$28+Ingresos!$E$29</f>
        <v>1429.45</v>
      </c>
      <c r="F62" s="2"/>
    </row>
    <row r="63" customFormat="false" ht="15" hidden="false" customHeight="false" outlineLevel="0" collapsed="false">
      <c r="A63" s="6" t="s">
        <v>101</v>
      </c>
      <c r="B63" s="7" t="s">
        <v>16</v>
      </c>
      <c r="C63" s="12" t="n">
        <f aca="false">Ingresos!$C$32+Ingresos!$C$33+Ingresos!$C$34+Ingresos!$C$35+Ingresos!$C$36+Ingresos!$C$37+Ingresos!$C$38</f>
        <v>88.4</v>
      </c>
      <c r="D63" s="12" t="n">
        <f aca="false">Ingresos!$D$32+Ingresos!$D$33+Ingresos!$D$34+Ingresos!$D$35+Ingresos!$D$36+Ingresos!$D$37+Ingresos!$D$38</f>
        <v>174.5</v>
      </c>
      <c r="E63" s="12" t="n">
        <f aca="false">Ingresos!$E$32+Ingresos!$E$33+Ingresos!$E$34+Ingresos!$E$35+Ingresos!$E$36+Ingresos!$E$37+Ingresos!$E$38</f>
        <v>304.9</v>
      </c>
      <c r="F63" s="2"/>
    </row>
    <row r="64" customFormat="false" ht="15" hidden="false" customHeight="false" outlineLevel="0" collapsed="false">
      <c r="A64" s="6" t="s">
        <v>73</v>
      </c>
      <c r="B64" s="7" t="s">
        <v>16</v>
      </c>
      <c r="C64" s="12" t="n">
        <f aca="false">Ingresos!$C$41+Ingresos!$C$42+Ingresos!$C$43+Ingresos!$C$44+Ingresos!$C$45+Ingresos!$C$46+Ingresos!$C$47+Ingresos!$C$48+Ingresos!$C$49+Ingresos!$C$50+Ingresos!$C$51+Ingresos!$C$52</f>
        <v>1340.623360304</v>
      </c>
      <c r="D64" s="12" t="n">
        <f aca="false">Ingresos!$D$41+Ingresos!$D$42+Ingresos!$D$43+Ingresos!$D$44+Ingresos!$D$45+Ingresos!$D$46+Ingresos!$D$47+Ingresos!$D$48+Ingresos!$D$49+Ingresos!$D$50+Ingresos!$D$51+Ingresos!$D$52</f>
        <v>1941.349659424</v>
      </c>
      <c r="E64" s="12" t="n">
        <f aca="false">Ingresos!$E$41+Ingresos!$E$42+Ingresos!$E$43+Ingresos!$E$44+Ingresos!$E$45+Ingresos!$E$46+Ingresos!$E$47+Ingresos!$E$48+Ingresos!$E$49+Ingresos!$E$50+Ingresos!$E$51+Ingresos!$E$52</f>
        <v>2640.913230336</v>
      </c>
      <c r="F64" s="2"/>
    </row>
    <row r="65" customFormat="false" ht="15" hidden="false" customHeight="false" outlineLevel="0" collapsed="false">
      <c r="A65" s="6" t="s">
        <v>114</v>
      </c>
      <c r="B65" s="7" t="s">
        <v>16</v>
      </c>
      <c r="C65" s="12" t="n">
        <f aca="false">Ingresos!$C$55+Ingresos!$C$56+Ingresos!$C$57</f>
        <v>9.9101513509508</v>
      </c>
      <c r="D65" s="12" t="n">
        <f aca="false">Ingresos!$D$55+Ingresos!$D$56+Ingresos!$D$57</f>
        <v>18.1654248037696</v>
      </c>
      <c r="E65" s="12" t="n">
        <f aca="false">Ingresos!$E$55+Ingresos!$E$56+Ingresos!$E$57</f>
        <v>28.928858046908</v>
      </c>
      <c r="F65" s="2"/>
    </row>
    <row r="66" customFormat="false" ht="15" hidden="false" customHeight="false" outlineLevel="0" collapsed="false">
      <c r="A66" s="14" t="s">
        <v>538</v>
      </c>
      <c r="B66" s="7" t="s">
        <v>16</v>
      </c>
      <c r="C66" s="50" t="n">
        <f aca="false">Ingresos!$C$60+Ingresos!$C$61+Ingresos!$C$62+Ingresos!$C$63</f>
        <v>1147.8325</v>
      </c>
      <c r="D66" s="50" t="n">
        <f aca="false">Ingresos!$D$60+Ingresos!$D$61+Ingresos!$D$62+Ingresos!$D$63</f>
        <v>2506.9224</v>
      </c>
      <c r="E66" s="50" t="n">
        <f aca="false">Ingresos!$E$60+Ingresos!$E$61+Ingresos!$E$62+Ingresos!$E$63</f>
        <v>4829.6638</v>
      </c>
      <c r="F66" s="2"/>
    </row>
    <row r="67" customFormat="false" ht="15" hidden="false" customHeight="false" outlineLevel="0" collapsed="false">
      <c r="A67" s="14" t="s">
        <v>539</v>
      </c>
      <c r="B67" s="7" t="s">
        <v>16</v>
      </c>
      <c r="C67" s="56" t="n">
        <f aca="false">Ingresos!$C$64</f>
        <v>1340.623360304</v>
      </c>
      <c r="D67" s="56" t="n">
        <f aca="false">Ingresos!$D$64</f>
        <v>1941.349659424</v>
      </c>
      <c r="E67" s="56" t="n">
        <f aca="false">Ingresos!$E$64</f>
        <v>2640.913230336</v>
      </c>
      <c r="F67" s="2"/>
    </row>
    <row r="68" customFormat="false" ht="15" hidden="false" customHeight="false" outlineLevel="0" collapsed="false">
      <c r="A68" s="9" t="s">
        <v>19</v>
      </c>
      <c r="B68" s="10" t="s">
        <v>16</v>
      </c>
      <c r="C68" s="53" t="n">
        <f aca="false">Ingresos!$C$66+Ingresos!$C$67+Ingresos!$C$65</f>
        <v>2498.36601165495</v>
      </c>
      <c r="D68" s="53" t="n">
        <f aca="false">Ingresos!$D$66+Ingresos!$D$67+Ingresos!$D$65</f>
        <v>4466.43748422777</v>
      </c>
      <c r="E68" s="53" t="n">
        <f aca="false">Ingresos!$E$66+Ingresos!$E$67+Ingresos!$E$65</f>
        <v>7499.50588838291</v>
      </c>
      <c r="F68" s="2"/>
    </row>
    <row r="69" customFormat="false" ht="15" hidden="false" customHeight="false" outlineLevel="0" collapsed="false">
      <c r="A69" s="6" t="s">
        <v>540</v>
      </c>
      <c r="B69" s="7" t="s">
        <v>243</v>
      </c>
      <c r="C69" s="12" t="n">
        <f aca="false">Ingresos!$C$68/Supuestos!$C$7</f>
        <v>135.046811440808</v>
      </c>
      <c r="D69" s="12" t="n">
        <f aca="false">Ingresos!$D$68/Supuestos!$D$7</f>
        <v>241.429053201501</v>
      </c>
      <c r="E69" s="12" t="n">
        <f aca="false">Ingresos!$E$68/Supuestos!$E$7</f>
        <v>405.378696669346</v>
      </c>
      <c r="F69" s="2"/>
    </row>
    <row r="70" customFormat="false" ht="15" hidden="false" customHeight="false" outlineLevel="0" collapsed="false">
      <c r="A70" s="6" t="s">
        <v>541</v>
      </c>
      <c r="B70" s="7" t="s">
        <v>542</v>
      </c>
      <c r="C70" s="12" t="n">
        <f aca="false">41</f>
        <v>41</v>
      </c>
      <c r="D70" s="12" t="n">
        <f aca="false">41</f>
        <v>41</v>
      </c>
      <c r="E70" s="12" t="n">
        <f aca="false">41</f>
        <v>41</v>
      </c>
      <c r="F70" s="2"/>
    </row>
    <row r="71" customFormat="false" ht="15" hidden="false" customHeight="false" outlineLevel="0" collapsed="false">
      <c r="A71" s="6" t="s">
        <v>543</v>
      </c>
      <c r="B71" s="7" t="s">
        <v>16</v>
      </c>
      <c r="C71" s="8" t="n">
        <f aca="false">Energia!$C$48</f>
        <v>43.0613459397375</v>
      </c>
      <c r="D71" s="8" t="n">
        <f aca="false">Energia!$D$48</f>
        <v>44.5892981685164</v>
      </c>
      <c r="E71" s="8" t="n">
        <f aca="false">Energia!$E$48</f>
        <v>47.0803627931752</v>
      </c>
      <c r="F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</row>
    <row r="73" customFormat="false" ht="15" hidden="false" customHeight="false" outlineLevel="0" collapsed="false">
      <c r="A73" s="39" t="s">
        <v>544</v>
      </c>
      <c r="B73" s="40"/>
      <c r="C73" s="40"/>
      <c r="D73" s="40"/>
      <c r="E73" s="40"/>
      <c r="F73" s="40"/>
    </row>
    <row r="74" customFormat="false" ht="15" hidden="false" customHeight="false" outlineLevel="0" collapsed="false">
      <c r="A74" s="6" t="s">
        <v>545</v>
      </c>
      <c r="B74" s="7" t="s">
        <v>8</v>
      </c>
      <c r="C74" s="19" t="n">
        <f aca="false">Supuestos!$C$37*Supuestos!$C$38*Supuestos!$C$39/10^6+Supuestos!$C$37*Supuestos!$C$65/10^6</f>
        <v>14.08</v>
      </c>
      <c r="D74" s="19" t="n">
        <f aca="false">Supuestos!$D$37*Supuestos!$D$38*Supuestos!$D$39/10^6+Supuestos!$D$37*Supuestos!$D$65/10^6</f>
        <v>24.84</v>
      </c>
      <c r="E74" s="19" t="n">
        <f aca="false">Supuestos!$E$37*Supuestos!$E$38*Supuestos!$E$39/10^6+Supuestos!$E$37*Supuestos!$E$65/10^6</f>
        <v>38.2</v>
      </c>
      <c r="F74" s="2"/>
    </row>
    <row r="75" customFormat="false" ht="15" hidden="false" customHeight="false" outlineLevel="0" collapsed="false">
      <c r="A75" s="6" t="s">
        <v>546</v>
      </c>
      <c r="B75" s="7" t="s">
        <v>8</v>
      </c>
      <c r="C75" s="19" t="n">
        <f aca="false">Supuestos!$C$37*Supuestos!$C$38*Supuestos!$C$66/10^6</f>
        <v>2.72</v>
      </c>
      <c r="D75" s="19" t="n">
        <f aca="false">Supuestos!$D$37*Supuestos!$D$38*Supuestos!$D$66/10^6</f>
        <v>6.072</v>
      </c>
      <c r="E75" s="19" t="n">
        <f aca="false">Supuestos!$E$37*Supuestos!$E$38*Supuestos!$E$66/10^6</f>
        <v>10.4</v>
      </c>
      <c r="F75" s="2"/>
    </row>
    <row r="76" customFormat="false" ht="15" hidden="false" customHeight="false" outlineLevel="0" collapsed="false">
      <c r="A76" s="6" t="s">
        <v>547</v>
      </c>
      <c r="B76" s="7" t="s">
        <v>8</v>
      </c>
      <c r="C76" s="19" t="n">
        <f aca="false">Supuestos!$C$37*(Supuestos!$C$40*Supuestos!$C$62+Supuestos!$C$63*Supuestos!$C$64)/10^6+Supuestos!$C$67*Supuestos!$C$68*Supuestos!$C$69/10^6</f>
        <v>8.91</v>
      </c>
      <c r="D76" s="19" t="n">
        <f aca="false">Supuestos!$D$37*(Supuestos!$D$40*Supuestos!$D$62+Supuestos!$D$63*Supuestos!$D$64)/10^6+Supuestos!$D$67*Supuestos!$D$68*Supuestos!$D$69/10^6</f>
        <v>15.0424</v>
      </c>
      <c r="E76" s="19" t="n">
        <f aca="false">Supuestos!$E$37*(Supuestos!$E$40*Supuestos!$E$62+Supuestos!$E$63*Supuestos!$E$64)/10^6+Supuestos!$E$67*Supuestos!$E$68*Supuestos!$E$69/10^6</f>
        <v>24.075</v>
      </c>
      <c r="F76" s="2"/>
    </row>
    <row r="77" customFormat="false" ht="15" hidden="false" customHeight="false" outlineLevel="0" collapsed="false">
      <c r="A77" s="6" t="s">
        <v>548</v>
      </c>
      <c r="B77" s="7" t="s">
        <v>8</v>
      </c>
      <c r="C77" s="19" t="n">
        <f aca="false">MIN(Supuestos!$C$123,Supuestos!$C$37*Supuestos!$C$70)*Supuestos!$C$71/10^6</f>
        <v>1.12</v>
      </c>
      <c r="D77" s="19" t="n">
        <f aca="false">MIN(Supuestos!$D$123,Supuestos!$D$37*Supuestos!$D$70)*Supuestos!$D$71/10^6</f>
        <v>1.422</v>
      </c>
      <c r="E77" s="19" t="n">
        <f aca="false">MIN(Supuestos!$E$123,Supuestos!$E$37*Supuestos!$E$70)*Supuestos!$E$71/10^6</f>
        <v>1.7064</v>
      </c>
      <c r="F77" s="2"/>
    </row>
    <row r="78" customFormat="false" ht="15" hidden="false" customHeight="false" outlineLevel="0" collapsed="false">
      <c r="A78" s="6" t="s">
        <v>549</v>
      </c>
      <c r="B78" s="7" t="s">
        <v>8</v>
      </c>
      <c r="C78" s="19" t="n">
        <f aca="false">-(Supuestos!$C$72*Supuestos!$C$73/10^6+Supuestos!$C$148*1000*Supuestos!$C$153/10^6+Supuestos!$C$165*Supuestos!$C$174/10^6)</f>
        <v>-2.912</v>
      </c>
      <c r="D78" s="19" t="n">
        <f aca="false">-(Supuestos!$D$72*Supuestos!$D$73/10^6+Supuestos!$D$148*1000*Supuestos!$D$153/10^6+Supuestos!$D$165*Supuestos!$D$174/10^6)</f>
        <v>-2.4395</v>
      </c>
      <c r="E78" s="19" t="n">
        <f aca="false">-(Supuestos!$E$72*Supuestos!$E$73/10^6+Supuestos!$E$148*1000*Supuestos!$E$153/10^6+Supuestos!$E$165*Supuestos!$E$174/10^6)</f>
        <v>-2.0175</v>
      </c>
      <c r="F78" s="2"/>
    </row>
    <row r="79" customFormat="false" ht="15" hidden="false" customHeight="false" outlineLevel="0" collapsed="false">
      <c r="A79" s="9" t="s">
        <v>550</v>
      </c>
      <c r="B79" s="10" t="s">
        <v>8</v>
      </c>
      <c r="C79" s="51" t="n">
        <f aca="false">Ingresos!$C$74+Ingresos!$C$75+Ingresos!$C$76+Ingresos!$C$77+Ingresos!$C$78</f>
        <v>23.918</v>
      </c>
      <c r="D79" s="51" t="n">
        <f aca="false">Ingresos!$D$74+Ingresos!$D$75+Ingresos!$D$76+Ingresos!$D$77+Ingresos!$D$78</f>
        <v>44.9369</v>
      </c>
      <c r="E79" s="51" t="n">
        <f aca="false">Ingresos!$E$74+Ingresos!$E$75+Ingresos!$E$76+Ingresos!$E$77+Ingresos!$E$78</f>
        <v>72.3639</v>
      </c>
      <c r="F7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551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552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553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381</v>
      </c>
      <c r="B7" s="7" t="s">
        <v>16</v>
      </c>
      <c r="C7" s="12" t="n">
        <f aca="false">Supuestos!$C$178*Supuestos!$C$179/10^6</f>
        <v>99</v>
      </c>
      <c r="D7" s="12" t="n">
        <f aca="false">Supuestos!$D$178*Supuestos!$D$179/10^6</f>
        <v>75.6</v>
      </c>
      <c r="E7" s="12" t="n">
        <f aca="false">Supuestos!$E$178*Supuestos!$E$179/10^6</f>
        <v>68</v>
      </c>
      <c r="F7" s="2"/>
    </row>
    <row r="8" customFormat="false" ht="15" hidden="false" customHeight="false" outlineLevel="0" collapsed="false">
      <c r="A8" s="6" t="s">
        <v>554</v>
      </c>
      <c r="B8" s="7" t="s">
        <v>16</v>
      </c>
      <c r="C8" s="12" t="n">
        <f aca="false">Supuestos!$C$72*Supuestos!$C$73*Eventos!$C$63/10^6</f>
        <v>111.72</v>
      </c>
      <c r="D8" s="12" t="n">
        <f aca="false">Supuestos!$D$72*Supuestos!$D$73*Eventos!$D$63/10^6</f>
        <v>130.5</v>
      </c>
      <c r="E8" s="12" t="n">
        <f aca="false">Supuestos!$E$72*Supuestos!$E$73*Eventos!$E$63/10^6</f>
        <v>143.99</v>
      </c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39" t="s">
        <v>555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6" t="s">
        <v>556</v>
      </c>
      <c r="B11" s="7" t="s">
        <v>16</v>
      </c>
      <c r="C11" s="8" t="n">
        <f aca="false">Energia!$C$44</f>
        <v>56.4635123602626</v>
      </c>
      <c r="D11" s="8" t="n">
        <f aca="false">Energia!$D$44</f>
        <v>38.6412002314836</v>
      </c>
      <c r="E11" s="8" t="n">
        <f aca="false">Energia!$E$44</f>
        <v>23.8001622068248</v>
      </c>
      <c r="F11" s="42" t="s">
        <v>557</v>
      </c>
    </row>
    <row r="12" customFormat="false" ht="15" hidden="false" customHeight="false" outlineLevel="0" collapsed="false">
      <c r="A12" s="6" t="s">
        <v>357</v>
      </c>
      <c r="B12" s="7" t="s">
        <v>16</v>
      </c>
      <c r="C12" s="8" t="n">
        <f aca="false">Energia!$C$50</f>
        <v>3.774351</v>
      </c>
      <c r="D12" s="8" t="n">
        <f aca="false">Energia!$D$50</f>
        <v>3.277725</v>
      </c>
      <c r="E12" s="8" t="n">
        <f aca="false">Energia!$E$50</f>
        <v>2.728126</v>
      </c>
      <c r="F12" s="2"/>
    </row>
    <row r="13" customFormat="false" ht="15" hidden="false" customHeight="false" outlineLevel="0" collapsed="false">
      <c r="A13" s="6" t="s">
        <v>558</v>
      </c>
      <c r="B13" s="7" t="s">
        <v>16</v>
      </c>
      <c r="C13" s="8" t="n">
        <f aca="false">Agua!$C$21</f>
        <v>12.16129409</v>
      </c>
      <c r="D13" s="8" t="n">
        <f aca="false">Agua!$D$21</f>
        <v>8.24576795</v>
      </c>
      <c r="E13" s="8" t="n">
        <f aca="false">Agua!$E$21</f>
        <v>5.09641275</v>
      </c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39" t="s">
        <v>559</v>
      </c>
      <c r="B15" s="40"/>
      <c r="C15" s="40"/>
      <c r="D15" s="40"/>
      <c r="E15" s="40"/>
      <c r="F15" s="40"/>
    </row>
    <row r="16" customFormat="false" ht="15" hidden="false" customHeight="false" outlineLevel="0" collapsed="false">
      <c r="A16" s="6" t="s">
        <v>383</v>
      </c>
      <c r="B16" s="7" t="s">
        <v>16</v>
      </c>
      <c r="C16" s="12" t="n">
        <f aca="false">Supuestos!$C$9*Supuestos!$C$180</f>
        <v>446.82</v>
      </c>
      <c r="D16" s="12" t="n">
        <f aca="false">Supuestos!$D$9*Supuestos!$D$180</f>
        <v>372.35</v>
      </c>
      <c r="E16" s="12" t="n">
        <f aca="false">Supuestos!$E$9*Supuestos!$E$180</f>
        <v>335.115</v>
      </c>
      <c r="F16" s="2"/>
    </row>
    <row r="17" customFormat="false" ht="15" hidden="false" customHeight="false" outlineLevel="0" collapsed="false">
      <c r="A17" s="6" t="s">
        <v>560</v>
      </c>
      <c r="B17" s="7" t="s">
        <v>16</v>
      </c>
      <c r="C17" s="12" t="n">
        <f aca="false">Supuestos!$C$181*Supuestos!$C$182/10^6</f>
        <v>25.76</v>
      </c>
      <c r="D17" s="12" t="n">
        <f aca="false">Supuestos!$D$181*Supuestos!$D$182/10^6</f>
        <v>22.08</v>
      </c>
      <c r="E17" s="12" t="n">
        <f aca="false">Supuestos!$E$181*Supuestos!$E$182/10^6</f>
        <v>18.4</v>
      </c>
      <c r="F17" s="2"/>
    </row>
    <row r="18" customFormat="false" ht="15" hidden="false" customHeight="false" outlineLevel="0" collapsed="false">
      <c r="A18" s="6" t="s">
        <v>561</v>
      </c>
      <c r="B18" s="7" t="s">
        <v>16</v>
      </c>
      <c r="C18" s="12" t="n">
        <f aca="false">Supuestos!$C$183*Supuestos!$C$184/10^6</f>
        <v>18.54</v>
      </c>
      <c r="D18" s="12" t="n">
        <f aca="false">Supuestos!$D$183*Supuestos!$D$184/10^6</f>
        <v>16.48</v>
      </c>
      <c r="E18" s="12" t="n">
        <f aca="false">Supuestos!$E$183*Supuestos!$E$184/10^6</f>
        <v>14.42</v>
      </c>
      <c r="F18" s="2"/>
    </row>
    <row r="19" customFormat="false" ht="15" hidden="false" customHeight="false" outlineLevel="0" collapsed="false">
      <c r="A19" s="6" t="s">
        <v>562</v>
      </c>
      <c r="B19" s="7" t="s">
        <v>16</v>
      </c>
      <c r="C19" s="8" t="n">
        <f aca="false">Supuestos!$C$185</f>
        <v>20</v>
      </c>
      <c r="D19" s="8" t="n">
        <f aca="false">Supuestos!$D$185</f>
        <v>15</v>
      </c>
      <c r="E19" s="8" t="n">
        <f aca="false">Supuestos!$E$185</f>
        <v>12</v>
      </c>
      <c r="F19" s="2"/>
    </row>
    <row r="20" customFormat="false" ht="15" hidden="false" customHeight="false" outlineLevel="0" collapsed="false">
      <c r="A20" s="6" t="s">
        <v>563</v>
      </c>
      <c r="B20" s="7" t="s">
        <v>16</v>
      </c>
      <c r="C20" s="8" t="n">
        <f aca="false">Supuestos!$C$186</f>
        <v>30</v>
      </c>
      <c r="D20" s="8" t="n">
        <f aca="false">Supuestos!$D$186</f>
        <v>25</v>
      </c>
      <c r="E20" s="8" t="n">
        <f aca="false">Supuestos!$E$186</f>
        <v>20</v>
      </c>
      <c r="F20" s="2"/>
    </row>
    <row r="21" customFormat="false" ht="15" hidden="false" customHeight="false" outlineLevel="0" collapsed="false">
      <c r="A21" s="6" t="s">
        <v>564</v>
      </c>
      <c r="B21" s="7" t="s">
        <v>16</v>
      </c>
      <c r="C21" s="8" t="n">
        <f aca="false">Supuestos!$C$187</f>
        <v>18</v>
      </c>
      <c r="D21" s="8" t="n">
        <f aca="false">Supuestos!$D$187</f>
        <v>15</v>
      </c>
      <c r="E21" s="8" t="n">
        <f aca="false">Supuestos!$E$187</f>
        <v>12</v>
      </c>
      <c r="F21" s="2"/>
    </row>
    <row r="22" customFormat="false" ht="15" hidden="false" customHeight="false" outlineLevel="0" collapsed="false">
      <c r="A22" s="6" t="s">
        <v>565</v>
      </c>
      <c r="B22" s="7" t="s">
        <v>16</v>
      </c>
      <c r="C22" s="12" t="n">
        <f aca="false">Supuestos!$C$9*Supuestos!$C$198</f>
        <v>223.41</v>
      </c>
      <c r="D22" s="12" t="n">
        <f aca="false">Supuestos!$D$9*Supuestos!$D$198</f>
        <v>186.175</v>
      </c>
      <c r="E22" s="12" t="n">
        <f aca="false">Supuestos!$E$9*Supuestos!$E$198</f>
        <v>148.94</v>
      </c>
      <c r="F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</row>
    <row r="24" customFormat="false" ht="15" hidden="false" customHeight="false" outlineLevel="0" collapsed="false">
      <c r="A24" s="39" t="s">
        <v>566</v>
      </c>
      <c r="B24" s="40"/>
      <c r="C24" s="40"/>
      <c r="D24" s="40"/>
      <c r="E24" s="40"/>
      <c r="F24" s="40"/>
    </row>
    <row r="25" customFormat="false" ht="15" hidden="false" customHeight="false" outlineLevel="0" collapsed="false">
      <c r="A25" s="6" t="s">
        <v>397</v>
      </c>
      <c r="B25" s="7" t="s">
        <v>16</v>
      </c>
      <c r="C25" s="8" t="n">
        <f aca="false">Supuestos!$C$188</f>
        <v>55</v>
      </c>
      <c r="D25" s="8" t="n">
        <f aca="false">Supuestos!$D$188</f>
        <v>45</v>
      </c>
      <c r="E25" s="8" t="n">
        <f aca="false">Supuestos!$E$188</f>
        <v>40</v>
      </c>
      <c r="F25" s="2"/>
    </row>
    <row r="26" customFormat="false" ht="15" hidden="false" customHeight="false" outlineLevel="0" collapsed="false">
      <c r="A26" s="6" t="s">
        <v>567</v>
      </c>
      <c r="B26" s="7" t="s">
        <v>16</v>
      </c>
      <c r="C26" s="8" t="n">
        <f aca="false">Supuestos!$C$189</f>
        <v>30</v>
      </c>
      <c r="D26" s="8" t="n">
        <f aca="false">Supuestos!$D$189</f>
        <v>25</v>
      </c>
      <c r="E26" s="8" t="n">
        <f aca="false">Supuestos!$E$189</f>
        <v>22</v>
      </c>
      <c r="F26" s="2"/>
    </row>
    <row r="27" customFormat="false" ht="15" hidden="false" customHeight="false" outlineLevel="0" collapsed="false">
      <c r="A27" s="6" t="s">
        <v>399</v>
      </c>
      <c r="B27" s="7" t="s">
        <v>16</v>
      </c>
      <c r="C27" s="8" t="n">
        <f aca="false">Supuestos!$C$190</f>
        <v>12</v>
      </c>
      <c r="D27" s="8" t="n">
        <f aca="false">Supuestos!$D$190</f>
        <v>10</v>
      </c>
      <c r="E27" s="8" t="n">
        <f aca="false">Supuestos!$E$190</f>
        <v>8</v>
      </c>
      <c r="F27" s="2"/>
    </row>
    <row r="28" customFormat="false" ht="15" hidden="false" customHeight="false" outlineLevel="0" collapsed="false">
      <c r="A28" s="6" t="s">
        <v>400</v>
      </c>
      <c r="B28" s="7" t="s">
        <v>16</v>
      </c>
      <c r="C28" s="8" t="n">
        <f aca="false">Supuestos!$C$191</f>
        <v>15</v>
      </c>
      <c r="D28" s="8" t="n">
        <f aca="false">Supuestos!$D$191</f>
        <v>12</v>
      </c>
      <c r="E28" s="8" t="n">
        <f aca="false">Supuestos!$E$191</f>
        <v>10</v>
      </c>
      <c r="F28" s="2"/>
    </row>
    <row r="29" customFormat="false" ht="15" hidden="false" customHeight="false" outlineLevel="0" collapsed="false">
      <c r="A29" s="6" t="s">
        <v>409</v>
      </c>
      <c r="B29" s="7" t="s">
        <v>16</v>
      </c>
      <c r="C29" s="12" t="n">
        <f aca="false">(Ingresos!$C$21+Ingresos!$C$51)*Supuestos!$C$197</f>
        <v>25.0442668</v>
      </c>
      <c r="D29" s="12" t="n">
        <f aca="false">(Ingresos!$D$21+Ingresos!$D$51)*Supuestos!$D$197</f>
        <v>38.9759104</v>
      </c>
      <c r="E29" s="12" t="n">
        <f aca="false">(Ingresos!$E$21+Ingresos!$E$51)*Supuestos!$E$197</f>
        <v>51.5285712</v>
      </c>
      <c r="F29" s="2"/>
    </row>
    <row r="30" customFormat="false" ht="15" hidden="false" customHeight="false" outlineLevel="0" collapsed="false">
      <c r="A30" s="6" t="s">
        <v>568</v>
      </c>
      <c r="B30" s="7" t="s">
        <v>16</v>
      </c>
      <c r="C30" s="8" t="n">
        <f aca="false">Ingresos!$C$52</f>
        <v>176.65659504</v>
      </c>
      <c r="D30" s="8" t="n">
        <f aca="false">Ingresos!$D$52</f>
        <v>230.3763228</v>
      </c>
      <c r="E30" s="8" t="n">
        <f aca="false">Ingresos!$E$52</f>
        <v>284.32770096</v>
      </c>
      <c r="F30" s="42" t="s">
        <v>569</v>
      </c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</row>
    <row r="32" customFormat="false" ht="15" hidden="false" customHeight="false" outlineLevel="0" collapsed="false">
      <c r="A32" s="39" t="s">
        <v>570</v>
      </c>
      <c r="B32" s="40"/>
      <c r="C32" s="40"/>
      <c r="D32" s="40"/>
      <c r="E32" s="40"/>
      <c r="F32" s="40"/>
    </row>
    <row r="33" customFormat="false" ht="15" hidden="false" customHeight="false" outlineLevel="0" collapsed="false">
      <c r="A33" s="6" t="s">
        <v>404</v>
      </c>
      <c r="B33" s="7" t="s">
        <v>16</v>
      </c>
      <c r="C33" s="8" t="n">
        <f aca="false">Supuestos!$C$194</f>
        <v>150</v>
      </c>
      <c r="D33" s="8" t="n">
        <f aca="false">Supuestos!$D$194</f>
        <v>120</v>
      </c>
      <c r="E33" s="8" t="n">
        <f aca="false">Supuestos!$E$194</f>
        <v>100</v>
      </c>
      <c r="F33" s="2"/>
    </row>
    <row r="34" customFormat="false" ht="15" hidden="false" customHeight="false" outlineLevel="0" collapsed="false">
      <c r="A34" s="6" t="s">
        <v>571</v>
      </c>
      <c r="B34" s="7" t="s">
        <v>16</v>
      </c>
      <c r="C34" s="12" t="n">
        <f aca="false">(Ingresos!$C$26+Ingresos!$C$27+Ingresos!$C$24+Ingresos!$C$25)*Supuestos!$C$195</f>
        <v>59.91</v>
      </c>
      <c r="D34" s="12" t="n">
        <f aca="false">(Ingresos!$D$26+Ingresos!$D$27+Ingresos!$D$24+Ingresos!$D$25)*Supuestos!$D$195</f>
        <v>87</v>
      </c>
      <c r="E34" s="12" t="n">
        <f aca="false">(Ingresos!$E$26+Ingresos!$E$27+Ingresos!$E$24+Ingresos!$E$25)*Supuestos!$E$195</f>
        <v>103.156</v>
      </c>
      <c r="F34" s="2"/>
    </row>
    <row r="35" customFormat="false" ht="15" hidden="false" customHeight="false" outlineLevel="0" collapsed="false">
      <c r="A35" s="6" t="s">
        <v>407</v>
      </c>
      <c r="B35" s="7" t="s">
        <v>16</v>
      </c>
      <c r="C35" s="12" t="n">
        <f aca="false">Ingresos!$C$64*Supuestos!$C$196</f>
        <v>53.62493441216</v>
      </c>
      <c r="D35" s="12" t="n">
        <f aca="false">Ingresos!$D$64*Supuestos!$D$196</f>
        <v>58.24048978272</v>
      </c>
      <c r="E35" s="12" t="n">
        <f aca="false">Ingresos!$E$64*Supuestos!$E$196</f>
        <v>66.0228307584</v>
      </c>
      <c r="F35" s="2"/>
    </row>
    <row r="36" customFormat="false" ht="15" hidden="false" customHeight="false" outlineLevel="0" collapsed="false">
      <c r="A36" s="6" t="s">
        <v>572</v>
      </c>
      <c r="B36" s="7" t="s">
        <v>16</v>
      </c>
      <c r="C36" s="12" t="n">
        <f aca="false">Supuestos!$C$8*Supuestos!$C$192</f>
        <v>95.841</v>
      </c>
      <c r="D36" s="12" t="n">
        <f aca="false">Supuestos!$D$8*Supuestos!$D$192</f>
        <v>79.8675</v>
      </c>
      <c r="E36" s="12" t="n">
        <f aca="false">Supuestos!$E$8*Supuestos!$E$192</f>
        <v>63.894</v>
      </c>
      <c r="F36" s="2"/>
    </row>
    <row r="37" customFormat="false" ht="15" hidden="false" customHeight="false" outlineLevel="0" collapsed="false">
      <c r="A37" s="6" t="s">
        <v>403</v>
      </c>
      <c r="B37" s="7" t="s">
        <v>16</v>
      </c>
      <c r="C37" s="12" t="n">
        <f aca="false">Supuestos!$C$8*Supuestos!$C$193</f>
        <v>53.245</v>
      </c>
      <c r="D37" s="12" t="n">
        <f aca="false">Supuestos!$D$8*Supuestos!$D$193</f>
        <v>53.245</v>
      </c>
      <c r="E37" s="12" t="n">
        <f aca="false">Supuestos!$E$8*Supuestos!$E$193</f>
        <v>42.596</v>
      </c>
      <c r="F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</row>
    <row r="39" customFormat="false" ht="15" hidden="false" customHeight="false" outlineLevel="0" collapsed="false">
      <c r="A39" s="39" t="s">
        <v>444</v>
      </c>
      <c r="B39" s="40"/>
      <c r="C39" s="40"/>
      <c r="D39" s="40"/>
      <c r="E39" s="40"/>
      <c r="F39" s="40"/>
    </row>
    <row r="40" customFormat="false" ht="15" hidden="false" customHeight="false" outlineLevel="0" collapsed="false">
      <c r="A40" s="6" t="s">
        <v>573</v>
      </c>
      <c r="B40" s="7" t="s">
        <v>16</v>
      </c>
      <c r="C40" s="12" t="n">
        <f aca="false">Costos_Operacion!$C$7+Costos_Operacion!$C$8+Costos_Operacion!$C$11+Costos_Operacion!$C$12+Costos_Operacion!$C$13+Costos_Operacion!$C$16+Costos_Operacion!$C$17+Costos_Operacion!$C$18+Costos_Operacion!$C$19+Costos_Operacion!$C$20+Costos_Operacion!$C$21+Costos_Operacion!$C$22+Costos_Operacion!$C$25+Costos_Operacion!$C$26+Costos_Operacion!$C$27+Costos_Operacion!$C$28+Costos_Operacion!$C$29+Costos_Operacion!$C$30+Costos_Operacion!$C$33+Costos_Operacion!$C$34+Costos_Operacion!$C$35+Costos_Operacion!$C$36+Costos_Operacion!$C$37</f>
        <v>1791.97095370242</v>
      </c>
      <c r="D40" s="12" t="n">
        <f aca="false">Costos_Operacion!$D$7+Costos_Operacion!$D$8+Costos_Operacion!$D$11+Costos_Operacion!$D$12+Costos_Operacion!$D$13+Costos_Operacion!$D$16+Costos_Operacion!$D$17+Costos_Operacion!$D$18+Costos_Operacion!$D$19+Costos_Operacion!$D$20+Costos_Operacion!$D$21+Costos_Operacion!$D$22+Costos_Operacion!$D$25+Costos_Operacion!$D$26+Costos_Operacion!$D$27+Costos_Operacion!$D$28+Costos_Operacion!$D$29+Costos_Operacion!$D$30+Costos_Operacion!$D$33+Costos_Operacion!$D$34+Costos_Operacion!$D$35+Costos_Operacion!$D$36+Costos_Operacion!$D$37</f>
        <v>1668.0549161642</v>
      </c>
      <c r="E40" s="12" t="n">
        <f aca="false">Costos_Operacion!$E$7+Costos_Operacion!$E$8+Costos_Operacion!$E$11+Costos_Operacion!$E$12+Costos_Operacion!$E$13+Costos_Operacion!$E$16+Costos_Operacion!$E$17+Costos_Operacion!$E$18+Costos_Operacion!$E$19+Costos_Operacion!$E$20+Costos_Operacion!$E$21+Costos_Operacion!$E$22+Costos_Operacion!$E$25+Costos_Operacion!$E$26+Costos_Operacion!$E$27+Costos_Operacion!$E$28+Costos_Operacion!$E$29+Costos_Operacion!$E$30+Costos_Operacion!$E$33+Costos_Operacion!$E$34+Costos_Operacion!$E$35+Costos_Operacion!$E$36+Costos_Operacion!$E$37</f>
        <v>1596.01480387522</v>
      </c>
      <c r="F40" s="2"/>
    </row>
    <row r="41" customFormat="false" ht="15" hidden="false" customHeight="false" outlineLevel="0" collapsed="false">
      <c r="A41" s="6" t="s">
        <v>574</v>
      </c>
      <c r="B41" s="7" t="s">
        <v>16</v>
      </c>
      <c r="C41" s="12" t="n">
        <f aca="false">Costos_Operacion!$C$40*Supuestos!$C$199</f>
        <v>89.5985476851212</v>
      </c>
      <c r="D41" s="12" t="n">
        <f aca="false">Costos_Operacion!$D$40*Supuestos!$D$199</f>
        <v>50.0416474849261</v>
      </c>
      <c r="E41" s="12" t="n">
        <f aca="false">Costos_Operacion!$E$40*Supuestos!$E$199</f>
        <v>31.9202960775045</v>
      </c>
      <c r="F41" s="2"/>
    </row>
    <row r="42" customFormat="false" ht="15" hidden="false" customHeight="false" outlineLevel="0" collapsed="false">
      <c r="A42" s="9" t="s">
        <v>575</v>
      </c>
      <c r="B42" s="10" t="s">
        <v>16</v>
      </c>
      <c r="C42" s="53" t="n">
        <f aca="false">Costos_Operacion!$C$40+Costos_Operacion!$C$41</f>
        <v>1881.56950138754</v>
      </c>
      <c r="D42" s="53" t="n">
        <f aca="false">Costos_Operacion!$D$40+Costos_Operacion!$D$41</f>
        <v>1718.09656364913</v>
      </c>
      <c r="E42" s="53" t="n">
        <f aca="false">Costos_Operacion!$E$40+Costos_Operacion!$E$41</f>
        <v>1627.93509995273</v>
      </c>
      <c r="F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</row>
    <row r="44" customFormat="false" ht="15" hidden="false" customHeight="false" outlineLevel="0" collapsed="false">
      <c r="A44" s="39" t="s">
        <v>576</v>
      </c>
      <c r="B44" s="40"/>
      <c r="C44" s="40"/>
      <c r="D44" s="40"/>
      <c r="E44" s="40"/>
      <c r="F44" s="40"/>
    </row>
    <row r="45" customFormat="false" ht="15" hidden="false" customHeight="false" outlineLevel="0" collapsed="false">
      <c r="A45" s="6" t="s">
        <v>577</v>
      </c>
      <c r="B45" s="7" t="s">
        <v>16</v>
      </c>
      <c r="C45" s="8" t="n">
        <f aca="false">Ingresos!$C$68</f>
        <v>2498.36601165495</v>
      </c>
      <c r="D45" s="8" t="n">
        <f aca="false">Ingresos!$D$68</f>
        <v>4466.43748422777</v>
      </c>
      <c r="E45" s="8" t="n">
        <f aca="false">Ingresos!$E$68</f>
        <v>7499.50588838291</v>
      </c>
      <c r="F45" s="2"/>
    </row>
    <row r="46" customFormat="false" ht="15" hidden="false" customHeight="false" outlineLevel="0" collapsed="false">
      <c r="A46" s="9" t="s">
        <v>578</v>
      </c>
      <c r="B46" s="10" t="s">
        <v>16</v>
      </c>
      <c r="C46" s="53" t="n">
        <f aca="false">Costos_Operacion!$C$45-Costos_Operacion!$C$42</f>
        <v>616.796510267407</v>
      </c>
      <c r="D46" s="53" t="n">
        <f aca="false">Costos_Operacion!$D$45-Costos_Operacion!$D$42</f>
        <v>2748.34092057864</v>
      </c>
      <c r="E46" s="53" t="n">
        <f aca="false">Costos_Operacion!$E$45-Costos_Operacion!$E$42</f>
        <v>5871.57078843018</v>
      </c>
      <c r="F46" s="2"/>
    </row>
    <row r="47" customFormat="false" ht="15" hidden="false" customHeight="false" outlineLevel="0" collapsed="false">
      <c r="A47" s="6" t="s">
        <v>22</v>
      </c>
      <c r="B47" s="7" t="s">
        <v>23</v>
      </c>
      <c r="C47" s="17" t="n">
        <f aca="false">Costos_Operacion!$C$46/Costos_Operacion!$C$45</f>
        <v>0.246879963700288</v>
      </c>
      <c r="D47" s="17" t="n">
        <f aca="false">Costos_Operacion!$D$46/Costos_Operacion!$D$45</f>
        <v>0.615331778466349</v>
      </c>
      <c r="E47" s="17" t="n">
        <f aca="false">Costos_Operacion!$E$46/Costos_Operacion!$E$45</f>
        <v>0.782927685612665</v>
      </c>
      <c r="F4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6" min="3" style="0" width="9"/>
  </cols>
  <sheetData>
    <row r="1" customFormat="false" ht="18.55" hidden="false" customHeight="false" outlineLevel="0" collapsed="false">
      <c r="A1" s="36" t="s">
        <v>579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customFormat="false" ht="15" hidden="false" customHeight="false" outlineLevel="0" collapsed="false">
      <c r="A2" s="3" t="s">
        <v>580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customFormat="false" ht="15" hidden="false" customHeight="false" outlineLevel="0" collapsed="false">
      <c r="A4" s="57" t="s">
        <v>581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</row>
    <row r="5" customFormat="false" ht="15" hidden="false" customHeight="false" outlineLevel="0" collapsed="false">
      <c r="A5" s="6" t="s">
        <v>582</v>
      </c>
      <c r="B5" s="2"/>
      <c r="C5" s="59" t="s">
        <v>583</v>
      </c>
      <c r="D5" s="59" t="s">
        <v>584</v>
      </c>
      <c r="E5" s="59" t="s">
        <v>585</v>
      </c>
      <c r="F5" s="59" t="s">
        <v>586</v>
      </c>
      <c r="G5" s="59" t="s">
        <v>587</v>
      </c>
      <c r="H5" s="59" t="s">
        <v>588</v>
      </c>
      <c r="I5" s="59" t="s">
        <v>589</v>
      </c>
      <c r="J5" s="59" t="s">
        <v>590</v>
      </c>
      <c r="K5" s="59" t="s">
        <v>591</v>
      </c>
      <c r="L5" s="59" t="s">
        <v>592</v>
      </c>
      <c r="M5" s="59" t="s">
        <v>593</v>
      </c>
      <c r="N5" s="59" t="s">
        <v>594</v>
      </c>
      <c r="O5" s="59" t="s">
        <v>595</v>
      </c>
      <c r="P5" s="59" t="s">
        <v>596</v>
      </c>
      <c r="Q5" s="59" t="s">
        <v>597</v>
      </c>
      <c r="R5" s="59" t="s">
        <v>598</v>
      </c>
      <c r="S5" s="59" t="s">
        <v>599</v>
      </c>
      <c r="T5" s="59" t="s">
        <v>600</v>
      </c>
      <c r="U5" s="59" t="s">
        <v>601</v>
      </c>
      <c r="V5" s="59" t="s">
        <v>602</v>
      </c>
      <c r="W5" s="59" t="s">
        <v>603</v>
      </c>
      <c r="X5" s="59" t="s">
        <v>604</v>
      </c>
      <c r="Y5" s="59" t="s">
        <v>605</v>
      </c>
      <c r="Z5" s="59" t="s">
        <v>606</v>
      </c>
      <c r="AA5" s="59" t="s">
        <v>607</v>
      </c>
      <c r="AB5" s="59" t="s">
        <v>608</v>
      </c>
      <c r="AC5" s="59" t="s">
        <v>609</v>
      </c>
      <c r="AD5" s="59" t="s">
        <v>610</v>
      </c>
      <c r="AE5" s="59" t="s">
        <v>611</v>
      </c>
      <c r="AF5" s="59" t="s">
        <v>612</v>
      </c>
      <c r="AG5" s="59" t="s">
        <v>613</v>
      </c>
      <c r="AH5" s="59" t="s">
        <v>614</v>
      </c>
      <c r="AI5" s="59" t="s">
        <v>615</v>
      </c>
      <c r="AJ5" s="59" t="s">
        <v>616</v>
      </c>
    </row>
    <row r="6" customFormat="false" ht="15" hidden="false" customHeight="false" outlineLevel="0" collapsed="false">
      <c r="A6" s="6" t="s">
        <v>617</v>
      </c>
      <c r="B6" s="2"/>
      <c r="C6" s="60" t="n">
        <f aca="false">Supuestos!$C$14</f>
        <v>0.2</v>
      </c>
      <c r="D6" s="60" t="n">
        <f aca="false">Supuestos!$C$15</f>
        <v>0.3</v>
      </c>
      <c r="E6" s="60" t="n">
        <f aca="false">Supuestos!$C$16</f>
        <v>0.3</v>
      </c>
      <c r="F6" s="60" t="n">
        <f aca="false">Supuestos!$C$17</f>
        <v>0.2</v>
      </c>
      <c r="G6" s="60" t="n">
        <f aca="false">Supuestos!$C$18</f>
        <v>0.8</v>
      </c>
      <c r="H6" s="60" t="n">
        <f aca="false">Supuestos!$C$19</f>
        <v>0.9</v>
      </c>
      <c r="I6" s="61" t="n">
        <v>1</v>
      </c>
      <c r="J6" s="61" t="n">
        <v>1</v>
      </c>
      <c r="K6" s="61" t="n">
        <v>1</v>
      </c>
      <c r="L6" s="61" t="n">
        <v>1</v>
      </c>
      <c r="M6" s="61" t="n">
        <v>1</v>
      </c>
      <c r="N6" s="61" t="n">
        <v>1</v>
      </c>
      <c r="O6" s="61" t="n">
        <v>1</v>
      </c>
      <c r="P6" s="61" t="n">
        <v>1</v>
      </c>
      <c r="Q6" s="61" t="n">
        <v>1</v>
      </c>
      <c r="R6" s="61" t="n">
        <v>1</v>
      </c>
      <c r="S6" s="61" t="n">
        <v>1</v>
      </c>
      <c r="T6" s="61" t="n">
        <v>1</v>
      </c>
      <c r="U6" s="61" t="n">
        <v>1</v>
      </c>
      <c r="V6" s="61" t="n">
        <v>1</v>
      </c>
      <c r="W6" s="61" t="n">
        <v>1</v>
      </c>
      <c r="X6" s="61" t="n">
        <v>1</v>
      </c>
      <c r="Y6" s="61" t="n">
        <v>1</v>
      </c>
      <c r="Z6" s="61" t="n">
        <v>1</v>
      </c>
      <c r="AA6" s="61" t="n">
        <v>1</v>
      </c>
      <c r="AB6" s="61" t="n">
        <v>1</v>
      </c>
      <c r="AC6" s="61" t="n">
        <v>1</v>
      </c>
      <c r="AD6" s="61" t="n">
        <v>1</v>
      </c>
      <c r="AE6" s="61" t="n">
        <v>1</v>
      </c>
      <c r="AF6" s="61" t="n">
        <v>1</v>
      </c>
      <c r="AG6" s="61" t="n">
        <v>1</v>
      </c>
      <c r="AH6" s="61" t="n">
        <v>1</v>
      </c>
      <c r="AI6" s="61" t="n">
        <v>1</v>
      </c>
      <c r="AJ6" s="61" t="n">
        <v>1</v>
      </c>
    </row>
    <row r="7" customFormat="false" ht="15" hidden="false" customHeight="false" outlineLevel="0" collapsed="false">
      <c r="A7" s="6" t="s">
        <v>618</v>
      </c>
      <c r="B7" s="2"/>
      <c r="C7" s="62" t="n">
        <f aca="false">-(Supuestos!$C$8+Supuestos!$C$13)*C6</f>
        <v>-10729</v>
      </c>
      <c r="D7" s="62" t="n">
        <f aca="false">-(Supuestos!$C$8+Supuestos!$C$13)*D6</f>
        <v>-16093.5</v>
      </c>
      <c r="E7" s="62" t="n">
        <f aca="false">-(Supuestos!$C$8+Supuestos!$C$13)*E6</f>
        <v>-16093.5</v>
      </c>
      <c r="F7" s="62" t="n">
        <f aca="false">-(Supuestos!$C$8+Supuestos!$C$13)*F6</f>
        <v>-10729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2" t="n">
        <v>0</v>
      </c>
      <c r="M7" s="62" t="n">
        <v>0</v>
      </c>
      <c r="N7" s="62" t="n">
        <v>0</v>
      </c>
      <c r="O7" s="62" t="n">
        <v>0</v>
      </c>
      <c r="P7" s="62" t="n">
        <v>0</v>
      </c>
      <c r="Q7" s="62" t="n">
        <v>0</v>
      </c>
      <c r="R7" s="62" t="n">
        <v>0</v>
      </c>
      <c r="S7" s="62" t="n">
        <v>0</v>
      </c>
      <c r="T7" s="62" t="n">
        <v>0</v>
      </c>
      <c r="U7" s="62" t="n">
        <v>0</v>
      </c>
      <c r="V7" s="62" t="n">
        <v>0</v>
      </c>
      <c r="W7" s="62" t="n">
        <v>0</v>
      </c>
      <c r="X7" s="62" t="n">
        <v>0</v>
      </c>
      <c r="Y7" s="62" t="n">
        <v>0</v>
      </c>
      <c r="Z7" s="62" t="n">
        <v>0</v>
      </c>
      <c r="AA7" s="62" t="n">
        <v>0</v>
      </c>
      <c r="AB7" s="62" t="n">
        <v>0</v>
      </c>
      <c r="AC7" s="62" t="n">
        <v>0</v>
      </c>
      <c r="AD7" s="62" t="n">
        <v>0</v>
      </c>
      <c r="AE7" s="62" t="n">
        <v>0</v>
      </c>
      <c r="AF7" s="62" t="n">
        <v>0</v>
      </c>
      <c r="AG7" s="62" t="n">
        <v>0</v>
      </c>
      <c r="AH7" s="62" t="n">
        <v>0</v>
      </c>
      <c r="AI7" s="62" t="n">
        <v>0</v>
      </c>
      <c r="AJ7" s="62" t="n">
        <v>0</v>
      </c>
    </row>
    <row r="8" customFormat="false" ht="15" hidden="false" customHeight="false" outlineLevel="0" collapsed="false">
      <c r="A8" s="6" t="s">
        <v>619</v>
      </c>
      <c r="B8" s="2"/>
      <c r="C8" s="62" t="n">
        <v>0</v>
      </c>
      <c r="D8" s="62" t="n">
        <v>0</v>
      </c>
      <c r="E8" s="62" t="n">
        <v>0</v>
      </c>
      <c r="F8" s="62" t="n">
        <v>0</v>
      </c>
      <c r="G8" s="62" t="n">
        <f aca="false">Ingresos!$C$68*G6</f>
        <v>1998.69280932396</v>
      </c>
      <c r="H8" s="62" t="n">
        <f aca="false">Ingresos!$C$68*H6</f>
        <v>2248.52941048946</v>
      </c>
      <c r="I8" s="62" t="n">
        <f aca="false">Ingresos!$C$68*I6</f>
        <v>2498.36601165495</v>
      </c>
      <c r="J8" s="62" t="n">
        <f aca="false">Ingresos!$C$68*J6</f>
        <v>2498.36601165495</v>
      </c>
      <c r="K8" s="62" t="n">
        <f aca="false">Ingresos!$C$68*K6</f>
        <v>2498.36601165495</v>
      </c>
      <c r="L8" s="62" t="n">
        <f aca="false">Ingresos!$C$68*L6</f>
        <v>2498.36601165495</v>
      </c>
      <c r="M8" s="62" t="n">
        <f aca="false">Ingresos!$C$68*M6</f>
        <v>2498.36601165495</v>
      </c>
      <c r="N8" s="62" t="n">
        <f aca="false">Ingresos!$C$68*N6</f>
        <v>2498.36601165495</v>
      </c>
      <c r="O8" s="62" t="n">
        <f aca="false">Ingresos!$C$68*O6</f>
        <v>2498.36601165495</v>
      </c>
      <c r="P8" s="62" t="n">
        <f aca="false">Ingresos!$C$68*P6</f>
        <v>2498.36601165495</v>
      </c>
      <c r="Q8" s="62" t="n">
        <f aca="false">Ingresos!$C$68*Q6</f>
        <v>2498.36601165495</v>
      </c>
      <c r="R8" s="62" t="n">
        <f aca="false">Ingresos!$C$68*R6</f>
        <v>2498.36601165495</v>
      </c>
      <c r="S8" s="62" t="n">
        <f aca="false">Ingresos!$C$68*S6</f>
        <v>2498.36601165495</v>
      </c>
      <c r="T8" s="62" t="n">
        <f aca="false">Ingresos!$C$68*T6</f>
        <v>2498.36601165495</v>
      </c>
      <c r="U8" s="62" t="n">
        <f aca="false">Ingresos!$C$68*U6</f>
        <v>2498.36601165495</v>
      </c>
      <c r="V8" s="62" t="n">
        <f aca="false">Ingresos!$C$68*V6</f>
        <v>2498.36601165495</v>
      </c>
      <c r="W8" s="62" t="n">
        <f aca="false">Ingresos!$C$68*W6</f>
        <v>2498.36601165495</v>
      </c>
      <c r="X8" s="62" t="n">
        <f aca="false">Ingresos!$C$68*X6</f>
        <v>2498.36601165495</v>
      </c>
      <c r="Y8" s="62" t="n">
        <f aca="false">Ingresos!$C$68*Y6</f>
        <v>2498.36601165495</v>
      </c>
      <c r="Z8" s="62" t="n">
        <f aca="false">Ingresos!$C$68*Z6</f>
        <v>2498.36601165495</v>
      </c>
      <c r="AA8" s="62" t="n">
        <f aca="false">Ingresos!$C$68*AA6</f>
        <v>2498.36601165495</v>
      </c>
      <c r="AB8" s="62" t="n">
        <f aca="false">Ingresos!$C$68*AB6</f>
        <v>2498.36601165495</v>
      </c>
      <c r="AC8" s="62" t="n">
        <f aca="false">Ingresos!$C$68*AC6</f>
        <v>2498.36601165495</v>
      </c>
      <c r="AD8" s="62" t="n">
        <f aca="false">Ingresos!$C$68*AD6</f>
        <v>2498.36601165495</v>
      </c>
      <c r="AE8" s="62" t="n">
        <f aca="false">Ingresos!$C$68*AE6</f>
        <v>2498.36601165495</v>
      </c>
      <c r="AF8" s="62" t="n">
        <f aca="false">Ingresos!$C$68*AF6</f>
        <v>2498.36601165495</v>
      </c>
      <c r="AG8" s="62" t="n">
        <f aca="false">Ingresos!$C$68*AG6</f>
        <v>2498.36601165495</v>
      </c>
      <c r="AH8" s="62" t="n">
        <f aca="false">Ingresos!$C$68*AH6</f>
        <v>2498.36601165495</v>
      </c>
      <c r="AI8" s="62" t="n">
        <f aca="false">Ingresos!$C$68*AI6</f>
        <v>2498.36601165495</v>
      </c>
      <c r="AJ8" s="62" t="n">
        <f aca="false">Ingresos!$C$68*AJ6</f>
        <v>2498.36601165495</v>
      </c>
    </row>
    <row r="9" customFormat="false" ht="15" hidden="false" customHeight="false" outlineLevel="0" collapsed="false">
      <c r="A9" s="6" t="s">
        <v>20</v>
      </c>
      <c r="B9" s="2"/>
      <c r="C9" s="62" t="n">
        <v>0</v>
      </c>
      <c r="D9" s="62" t="n">
        <v>0</v>
      </c>
      <c r="E9" s="62" t="n">
        <v>0</v>
      </c>
      <c r="F9" s="62" t="n">
        <v>0</v>
      </c>
      <c r="G9" s="62" t="n">
        <f aca="false">-Costos_Operacion!$C$42</f>
        <v>-1881.56950138754</v>
      </c>
      <c r="H9" s="62" t="n">
        <f aca="false">-Costos_Operacion!$C$42</f>
        <v>-1881.56950138754</v>
      </c>
      <c r="I9" s="62" t="n">
        <f aca="false">-Costos_Operacion!$C$42</f>
        <v>-1881.56950138754</v>
      </c>
      <c r="J9" s="62" t="n">
        <f aca="false">-Costos_Operacion!$C$42</f>
        <v>-1881.56950138754</v>
      </c>
      <c r="K9" s="62" t="n">
        <f aca="false">-Costos_Operacion!$C$42</f>
        <v>-1881.56950138754</v>
      </c>
      <c r="L9" s="62" t="n">
        <f aca="false">-Costos_Operacion!$C$42</f>
        <v>-1881.56950138754</v>
      </c>
      <c r="M9" s="62" t="n">
        <f aca="false">-Costos_Operacion!$C$42</f>
        <v>-1881.56950138754</v>
      </c>
      <c r="N9" s="62" t="n">
        <f aca="false">-Costos_Operacion!$C$42</f>
        <v>-1881.56950138754</v>
      </c>
      <c r="O9" s="62" t="n">
        <f aca="false">-Costos_Operacion!$C$42</f>
        <v>-1881.56950138754</v>
      </c>
      <c r="P9" s="62" t="n">
        <f aca="false">-Costos_Operacion!$C$42</f>
        <v>-1881.56950138754</v>
      </c>
      <c r="Q9" s="62" t="n">
        <f aca="false">-Costos_Operacion!$C$42</f>
        <v>-1881.56950138754</v>
      </c>
      <c r="R9" s="62" t="n">
        <f aca="false">-Costos_Operacion!$C$42</f>
        <v>-1881.56950138754</v>
      </c>
      <c r="S9" s="62" t="n">
        <f aca="false">-Costos_Operacion!$C$42</f>
        <v>-1881.56950138754</v>
      </c>
      <c r="T9" s="62" t="n">
        <f aca="false">-Costos_Operacion!$C$42</f>
        <v>-1881.56950138754</v>
      </c>
      <c r="U9" s="62" t="n">
        <f aca="false">-Costos_Operacion!$C$42</f>
        <v>-1881.56950138754</v>
      </c>
      <c r="V9" s="62" t="n">
        <f aca="false">-Costos_Operacion!$C$42</f>
        <v>-1881.56950138754</v>
      </c>
      <c r="W9" s="62" t="n">
        <f aca="false">-Costos_Operacion!$C$42</f>
        <v>-1881.56950138754</v>
      </c>
      <c r="X9" s="62" t="n">
        <f aca="false">-Costos_Operacion!$C$42</f>
        <v>-1881.56950138754</v>
      </c>
      <c r="Y9" s="62" t="n">
        <f aca="false">-Costos_Operacion!$C$42</f>
        <v>-1881.56950138754</v>
      </c>
      <c r="Z9" s="62" t="n">
        <f aca="false">-Costos_Operacion!$C$42</f>
        <v>-1881.56950138754</v>
      </c>
      <c r="AA9" s="62" t="n">
        <f aca="false">-Costos_Operacion!$C$42</f>
        <v>-1881.56950138754</v>
      </c>
      <c r="AB9" s="62" t="n">
        <f aca="false">-Costos_Operacion!$C$42</f>
        <v>-1881.56950138754</v>
      </c>
      <c r="AC9" s="62" t="n">
        <f aca="false">-Costos_Operacion!$C$42</f>
        <v>-1881.56950138754</v>
      </c>
      <c r="AD9" s="62" t="n">
        <f aca="false">-Costos_Operacion!$C$42</f>
        <v>-1881.56950138754</v>
      </c>
      <c r="AE9" s="62" t="n">
        <f aca="false">-Costos_Operacion!$C$42</f>
        <v>-1881.56950138754</v>
      </c>
      <c r="AF9" s="62" t="n">
        <f aca="false">-Costos_Operacion!$C$42</f>
        <v>-1881.56950138754</v>
      </c>
      <c r="AG9" s="62" t="n">
        <f aca="false">-Costos_Operacion!$C$42</f>
        <v>-1881.56950138754</v>
      </c>
      <c r="AH9" s="62" t="n">
        <f aca="false">-Costos_Operacion!$C$42</f>
        <v>-1881.56950138754</v>
      </c>
      <c r="AI9" s="62" t="n">
        <f aca="false">-Costos_Operacion!$C$42</f>
        <v>-1881.56950138754</v>
      </c>
      <c r="AJ9" s="62" t="n">
        <f aca="false">-Costos_Operacion!$C$42</f>
        <v>-1881.56950138754</v>
      </c>
    </row>
    <row r="10" customFormat="false" ht="15" hidden="false" customHeight="false" outlineLevel="0" collapsed="false">
      <c r="A10" s="6" t="s">
        <v>620</v>
      </c>
      <c r="B10" s="2"/>
      <c r="C10" s="62" t="n">
        <v>0</v>
      </c>
      <c r="D10" s="62" t="n">
        <v>0</v>
      </c>
      <c r="E10" s="62" t="n">
        <v>0</v>
      </c>
      <c r="F10" s="62" t="n">
        <v>0</v>
      </c>
      <c r="G10" s="62" t="n">
        <f aca="false">-Energia!$C$20*(1-(1-Supuestos!$C$146)^(1-1))*Supuestos!$C$153</f>
        <v>-0</v>
      </c>
      <c r="H10" s="62" t="n">
        <f aca="false">-Energia!$C$20*(1-(1-Supuestos!$C$146)^(2-1))*Supuestos!$C$153</f>
        <v>-0.215306729698687</v>
      </c>
      <c r="I10" s="62" t="n">
        <f aca="false">-Energia!$C$20*(1-(1-Supuestos!$C$146)^(3-1))*Supuestos!$C$153</f>
        <v>-0.429536925748879</v>
      </c>
      <c r="J10" s="62" t="n">
        <f aca="false">-Energia!$C$20*(1-(1-Supuestos!$C$146)^(4-1))*Supuestos!$C$153</f>
        <v>-0.642695970818823</v>
      </c>
      <c r="K10" s="62" t="n">
        <f aca="false">-Energia!$C$20*(1-(1-Supuestos!$C$146)^(5-1))*Supuestos!$C$153</f>
        <v>-0.854789220663419</v>
      </c>
      <c r="L10" s="62" t="n">
        <f aca="false">-Energia!$C$20*(1-(1-Supuestos!$C$146)^(6-1))*Supuestos!$C$153</f>
        <v>-1.06582200425879</v>
      </c>
      <c r="M10" s="62" t="n">
        <f aca="false">-Energia!$C$20*(1-(1-Supuestos!$C$146)^(7-1))*Supuestos!$C$153</f>
        <v>-1.27579962393618</v>
      </c>
      <c r="N10" s="62" t="n">
        <f aca="false">-Energia!$C$20*(1-(1-Supuestos!$C$146)^(8-1))*Supuestos!$C$153</f>
        <v>-1.48472735551519</v>
      </c>
      <c r="O10" s="62" t="n">
        <f aca="false">-Energia!$C$20*(1-(1-Supuestos!$C$146)^(9-1))*Supuestos!$C$153</f>
        <v>-1.6926104484363</v>
      </c>
      <c r="P10" s="62" t="n">
        <f aca="false">-Energia!$C$20*(1-(1-Supuestos!$C$146)^(10-1))*Supuestos!$C$153</f>
        <v>-1.89945412589281</v>
      </c>
      <c r="Q10" s="62" t="n">
        <f aca="false">-Energia!$C$20*(1-(1-Supuestos!$C$146)^(11-1))*Supuestos!$C$153</f>
        <v>-2.10526358496203</v>
      </c>
      <c r="R10" s="62" t="n">
        <f aca="false">-Energia!$C$20*(1-(1-Supuestos!$C$146)^(12-1))*Supuestos!$C$153</f>
        <v>-2.31004399673591</v>
      </c>
      <c r="S10" s="62" t="n">
        <f aca="false">-Energia!$C$20*(1-(1-Supuestos!$C$146)^(13-1))*Supuestos!$C$153</f>
        <v>-2.51380050645092</v>
      </c>
      <c r="T10" s="62" t="n">
        <f aca="false">-Energia!$C$20*(1-(1-Supuestos!$C$146)^(14-1))*Supuestos!$C$153</f>
        <v>-2.71653823361735</v>
      </c>
      <c r="U10" s="62" t="n">
        <f aca="false">-Energia!$C$20*(1-(1-Supuestos!$C$146)^(15-1))*Supuestos!$C$153</f>
        <v>-2.91826227214795</v>
      </c>
      <c r="V10" s="62" t="n">
        <f aca="false">-Energia!$C$20*(1-(1-Supuestos!$C$146)^(16-1))*Supuestos!$C$153</f>
        <v>-3.1189776904859</v>
      </c>
      <c r="W10" s="62" t="n">
        <f aca="false">-Energia!$C$20*(1-(1-Supuestos!$C$146)^(17-1))*Supuestos!$C$153</f>
        <v>-3.31868953173216</v>
      </c>
      <c r="X10" s="62" t="n">
        <f aca="false">-Energia!$C$20*(1-(1-Supuestos!$C$146)^(18-1))*Supuestos!$C$153</f>
        <v>-3.51740281377218</v>
      </c>
      <c r="Y10" s="62" t="n">
        <f aca="false">-Energia!$C$20*(1-(1-Supuestos!$C$146)^(19-1))*Supuestos!$C$153</f>
        <v>-3.71512252940201</v>
      </c>
      <c r="Z10" s="62" t="n">
        <f aca="false">-Energia!$C$20*(1-(1-Supuestos!$C$146)^(20-1))*Supuestos!$C$153</f>
        <v>-3.91185364645369</v>
      </c>
      <c r="AA10" s="62" t="n">
        <f aca="false">-Energia!$C$20*(1-(1-Supuestos!$C$146)^(21-1))*Supuestos!$C$153</f>
        <v>-4.1076011079201</v>
      </c>
      <c r="AB10" s="62" t="n">
        <f aca="false">-Energia!$C$20*(1-(1-Supuestos!$C$146)^(22-1))*Supuestos!$C$153</f>
        <v>-4.30236983207919</v>
      </c>
      <c r="AC10" s="62" t="n">
        <f aca="false">-Energia!$C$20*(1-(1-Supuestos!$C$146)^(23-1))*Supuestos!$C$153</f>
        <v>-4.49616471261748</v>
      </c>
      <c r="AD10" s="62" t="n">
        <f aca="false">-Energia!$C$20*(1-(1-Supuestos!$C$146)^(24-1))*Supuestos!$C$153</f>
        <v>-4.68899061875308</v>
      </c>
      <c r="AE10" s="62" t="n">
        <f aca="false">-Energia!$C$20*(1-(1-Supuestos!$C$146)^(25-1))*Supuestos!$C$153</f>
        <v>-4.880852395358</v>
      </c>
      <c r="AF10" s="62" t="n">
        <f aca="false">-Energia!$C$20*(1-(1-Supuestos!$C$146)^(26-1))*Supuestos!$C$153</f>
        <v>-5.07175486307991</v>
      </c>
      <c r="AG10" s="62" t="n">
        <f aca="false">-Energia!$C$20*(1-(1-Supuestos!$C$146)^(27-1))*Supuestos!$C$153</f>
        <v>-5.26170281846319</v>
      </c>
      <c r="AH10" s="62" t="n">
        <f aca="false">-Energia!$C$20*(1-(1-Supuestos!$C$146)^(28-1))*Supuestos!$C$153</f>
        <v>-5.45070103406956</v>
      </c>
      <c r="AI10" s="62" t="n">
        <f aca="false">-Energia!$C$20*(1-(1-Supuestos!$C$146)^(29-1))*Supuestos!$C$153</f>
        <v>-5.6387542585979</v>
      </c>
      <c r="AJ10" s="62" t="n">
        <f aca="false">-Energia!$C$20*(1-(1-Supuestos!$C$146)^(30-1))*Supuestos!$C$153</f>
        <v>-5.8258672170036</v>
      </c>
    </row>
    <row r="11" customFormat="false" ht="15" hidden="false" customHeight="false" outlineLevel="0" collapsed="false">
      <c r="A11" s="14" t="s">
        <v>621</v>
      </c>
      <c r="B11" s="2"/>
      <c r="C11" s="63" t="n">
        <f aca="false">C8+C9+C10</f>
        <v>0</v>
      </c>
      <c r="D11" s="63" t="n">
        <f aca="false">D8+D9+D10</f>
        <v>0</v>
      </c>
      <c r="E11" s="63" t="n">
        <f aca="false">E8+E9+E10</f>
        <v>0</v>
      </c>
      <c r="F11" s="63" t="n">
        <f aca="false">F8+F9+F10</f>
        <v>0</v>
      </c>
      <c r="G11" s="63" t="n">
        <f aca="false">G8+G9+G10</f>
        <v>117.123307936417</v>
      </c>
      <c r="H11" s="63" t="n">
        <f aca="false">H8+H9+H10</f>
        <v>366.744602372213</v>
      </c>
      <c r="I11" s="63" t="n">
        <f aca="false">I8+I9+I10</f>
        <v>616.366973341658</v>
      </c>
      <c r="J11" s="63" t="n">
        <f aca="false">J8+J9+J10</f>
        <v>616.153814296588</v>
      </c>
      <c r="K11" s="63" t="n">
        <f aca="false">K8+K9+K10</f>
        <v>615.941721046743</v>
      </c>
      <c r="L11" s="63" t="n">
        <f aca="false">L8+L9+L10</f>
        <v>615.730688263148</v>
      </c>
      <c r="M11" s="63" t="n">
        <f aca="false">M8+M9+M10</f>
        <v>615.52071064347</v>
      </c>
      <c r="N11" s="63" t="n">
        <f aca="false">N8+N9+N10</f>
        <v>615.311782911891</v>
      </c>
      <c r="O11" s="63" t="n">
        <f aca="false">O8+O9+O10</f>
        <v>615.10389981897</v>
      </c>
      <c r="P11" s="63" t="n">
        <f aca="false">P8+P9+P10</f>
        <v>614.897056141514</v>
      </c>
      <c r="Q11" s="63" t="n">
        <f aca="false">Q8+Q9+Q10</f>
        <v>614.691246682445</v>
      </c>
      <c r="R11" s="63" t="n">
        <f aca="false">R8+R9+R10</f>
        <v>614.486466270671</v>
      </c>
      <c r="S11" s="63" t="n">
        <f aca="false">S8+S9+S10</f>
        <v>614.282709760956</v>
      </c>
      <c r="T11" s="63" t="n">
        <f aca="false">T8+T9+T10</f>
        <v>614.079972033789</v>
      </c>
      <c r="U11" s="63" t="n">
        <f aca="false">U8+U9+U10</f>
        <v>613.878247995259</v>
      </c>
      <c r="V11" s="63" t="n">
        <f aca="false">V8+V9+V10</f>
        <v>613.677532576921</v>
      </c>
      <c r="W11" s="63" t="n">
        <f aca="false">W8+W9+W10</f>
        <v>613.477820735674</v>
      </c>
      <c r="X11" s="63" t="n">
        <f aca="false">X8+X9+X10</f>
        <v>613.279107453634</v>
      </c>
      <c r="Y11" s="63" t="n">
        <f aca="false">Y8+Y9+Y10</f>
        <v>613.081387738005</v>
      </c>
      <c r="Z11" s="63" t="n">
        <f aca="false">Z8+Z9+Z10</f>
        <v>612.884656620953</v>
      </c>
      <c r="AA11" s="63" t="n">
        <f aca="false">AA8+AA9+AA10</f>
        <v>612.688909159487</v>
      </c>
      <c r="AB11" s="63" t="n">
        <f aca="false">AB8+AB9+AB10</f>
        <v>612.494140435327</v>
      </c>
      <c r="AC11" s="63" t="n">
        <f aca="false">AC8+AC9+AC10</f>
        <v>612.300345554789</v>
      </c>
      <c r="AD11" s="63" t="n">
        <f aca="false">AD8+AD9+AD10</f>
        <v>612.107519648654</v>
      </c>
      <c r="AE11" s="63" t="n">
        <f aca="false">AE8+AE9+AE10</f>
        <v>611.915657872049</v>
      </c>
      <c r="AF11" s="63" t="n">
        <f aca="false">AF8+AF9+AF10</f>
        <v>611.724755404327</v>
      </c>
      <c r="AG11" s="63" t="n">
        <f aca="false">AG8+AG9+AG10</f>
        <v>611.534807448943</v>
      </c>
      <c r="AH11" s="63" t="n">
        <f aca="false">AH8+AH9+AH10</f>
        <v>611.345809233337</v>
      </c>
      <c r="AI11" s="63" t="n">
        <f aca="false">AI8+AI9+AI10</f>
        <v>611.157756008809</v>
      </c>
      <c r="AJ11" s="63" t="n">
        <f aca="false">AJ8+AJ9+AJ10</f>
        <v>610.970643050403</v>
      </c>
    </row>
    <row r="12" customFormat="false" ht="15" hidden="false" customHeight="false" outlineLevel="0" collapsed="false">
      <c r="A12" s="6" t="s">
        <v>622</v>
      </c>
      <c r="B12" s="2"/>
      <c r="C12" s="62" t="n">
        <v>0</v>
      </c>
      <c r="D12" s="62" t="n">
        <v>0</v>
      </c>
      <c r="E12" s="62" t="n">
        <v>0</v>
      </c>
      <c r="F12" s="62" t="n">
        <v>0</v>
      </c>
      <c r="G12" s="62" t="n">
        <f aca="false">IF(1&lt;=1/Supuestos!$C$22,(Supuestos!$C$8)*Supuestos!$C$22,0)</f>
        <v>2662.25</v>
      </c>
      <c r="H12" s="62" t="n">
        <f aca="false">IF(2&lt;=1/Supuestos!$C$22,(Supuestos!$C$8)*Supuestos!$C$22,0)</f>
        <v>2662.25</v>
      </c>
      <c r="I12" s="62" t="n">
        <f aca="false">IF(3&lt;=1/Supuestos!$C$22,(Supuestos!$C$8)*Supuestos!$C$22,0)</f>
        <v>2662.25</v>
      </c>
      <c r="J12" s="62" t="n">
        <f aca="false">IF(4&lt;=1/Supuestos!$C$22,(Supuestos!$C$8)*Supuestos!$C$22,0)</f>
        <v>2662.25</v>
      </c>
      <c r="K12" s="62" t="n">
        <f aca="false">IF(5&lt;=1/Supuestos!$C$22,(Supuestos!$C$8)*Supuestos!$C$22,0)</f>
        <v>2662.25</v>
      </c>
      <c r="L12" s="62" t="n">
        <f aca="false">IF(6&lt;=1/Supuestos!$C$22,(Supuestos!$C$8)*Supuestos!$C$22,0)</f>
        <v>2662.25</v>
      </c>
      <c r="M12" s="62" t="n">
        <f aca="false">IF(7&lt;=1/Supuestos!$C$22,(Supuestos!$C$8)*Supuestos!$C$22,0)</f>
        <v>2662.25</v>
      </c>
      <c r="N12" s="62" t="n">
        <f aca="false">IF(8&lt;=1/Supuestos!$C$22,(Supuestos!$C$8)*Supuestos!$C$22,0)</f>
        <v>2662.25</v>
      </c>
      <c r="O12" s="62" t="n">
        <f aca="false">IF(9&lt;=1/Supuestos!$C$22,(Supuestos!$C$8)*Supuestos!$C$22,0)</f>
        <v>2662.25</v>
      </c>
      <c r="P12" s="62" t="n">
        <f aca="false">IF(10&lt;=1/Supuestos!$C$22,(Supuestos!$C$8)*Supuestos!$C$22,0)</f>
        <v>2662.25</v>
      </c>
      <c r="Q12" s="62" t="n">
        <f aca="false">IF(11&lt;=1/Supuestos!$C$22,(Supuestos!$C$8)*Supuestos!$C$22,0)</f>
        <v>2662.25</v>
      </c>
      <c r="R12" s="62" t="n">
        <f aca="false">IF(12&lt;=1/Supuestos!$C$22,(Supuestos!$C$8)*Supuestos!$C$22,0)</f>
        <v>2662.25</v>
      </c>
      <c r="S12" s="62" t="n">
        <f aca="false">IF(13&lt;=1/Supuestos!$C$22,(Supuestos!$C$8)*Supuestos!$C$22,0)</f>
        <v>2662.25</v>
      </c>
      <c r="T12" s="62" t="n">
        <f aca="false">IF(14&lt;=1/Supuestos!$C$22,(Supuestos!$C$8)*Supuestos!$C$22,0)</f>
        <v>2662.25</v>
      </c>
      <c r="U12" s="62" t="n">
        <f aca="false">IF(15&lt;=1/Supuestos!$C$22,(Supuestos!$C$8)*Supuestos!$C$22,0)</f>
        <v>2662.25</v>
      </c>
      <c r="V12" s="62" t="n">
        <f aca="false">IF(16&lt;=1/Supuestos!$C$22,(Supuestos!$C$8)*Supuestos!$C$22,0)</f>
        <v>2662.25</v>
      </c>
      <c r="W12" s="62" t="n">
        <f aca="false">IF(17&lt;=1/Supuestos!$C$22,(Supuestos!$C$8)*Supuestos!$C$22,0)</f>
        <v>2662.25</v>
      </c>
      <c r="X12" s="62" t="n">
        <f aca="false">IF(18&lt;=1/Supuestos!$C$22,(Supuestos!$C$8)*Supuestos!$C$22,0)</f>
        <v>2662.25</v>
      </c>
      <c r="Y12" s="62" t="n">
        <f aca="false">IF(19&lt;=1/Supuestos!$C$22,(Supuestos!$C$8)*Supuestos!$C$22,0)</f>
        <v>2662.25</v>
      </c>
      <c r="Z12" s="62" t="n">
        <f aca="false">IF(20&lt;=1/Supuestos!$C$22,(Supuestos!$C$8)*Supuestos!$C$22,0)</f>
        <v>2662.25</v>
      </c>
      <c r="AA12" s="62" t="n">
        <f aca="false">IF(21&lt;=1/Supuestos!$C$22,(Supuestos!$C$8)*Supuestos!$C$22,0)</f>
        <v>0</v>
      </c>
      <c r="AB12" s="62" t="n">
        <f aca="false">IF(22&lt;=1/Supuestos!$C$22,(Supuestos!$C$8)*Supuestos!$C$22,0)</f>
        <v>0</v>
      </c>
      <c r="AC12" s="62" t="n">
        <f aca="false">IF(23&lt;=1/Supuestos!$C$22,(Supuestos!$C$8)*Supuestos!$C$22,0)</f>
        <v>0</v>
      </c>
      <c r="AD12" s="62" t="n">
        <f aca="false">IF(24&lt;=1/Supuestos!$C$22,(Supuestos!$C$8)*Supuestos!$C$22,0)</f>
        <v>0</v>
      </c>
      <c r="AE12" s="62" t="n">
        <f aca="false">IF(25&lt;=1/Supuestos!$C$22,(Supuestos!$C$8)*Supuestos!$C$22,0)</f>
        <v>0</v>
      </c>
      <c r="AF12" s="62" t="n">
        <f aca="false">IF(26&lt;=1/Supuestos!$C$22,(Supuestos!$C$8)*Supuestos!$C$22,0)</f>
        <v>0</v>
      </c>
      <c r="AG12" s="62" t="n">
        <f aca="false">IF(27&lt;=1/Supuestos!$C$22,(Supuestos!$C$8)*Supuestos!$C$22,0)</f>
        <v>0</v>
      </c>
      <c r="AH12" s="62" t="n">
        <f aca="false">IF(28&lt;=1/Supuestos!$C$22,(Supuestos!$C$8)*Supuestos!$C$22,0)</f>
        <v>0</v>
      </c>
      <c r="AI12" s="62" t="n">
        <f aca="false">IF(29&lt;=1/Supuestos!$C$22,(Supuestos!$C$8)*Supuestos!$C$22,0)</f>
        <v>0</v>
      </c>
      <c r="AJ12" s="62" t="n">
        <f aca="false">IF(30&lt;=1/Supuestos!$C$22,(Supuestos!$C$8)*Supuestos!$C$22,0)</f>
        <v>0</v>
      </c>
    </row>
    <row r="13" customFormat="false" ht="15" hidden="false" customHeight="false" outlineLevel="0" collapsed="false">
      <c r="A13" s="6" t="s">
        <v>157</v>
      </c>
      <c r="B13" s="2"/>
      <c r="C13" s="62" t="n">
        <f aca="false">-MAX(0,C11-C12)*Supuestos!$C$21</f>
        <v>-0</v>
      </c>
      <c r="D13" s="62" t="n">
        <f aca="false">-MAX(0,D11-D12)*Supuestos!$C$21</f>
        <v>-0</v>
      </c>
      <c r="E13" s="62" t="n">
        <f aca="false">-MAX(0,E11-E12)*Supuestos!$C$21</f>
        <v>-0</v>
      </c>
      <c r="F13" s="62" t="n">
        <f aca="false">-MAX(0,F11-F12)*Supuestos!$C$21</f>
        <v>-0</v>
      </c>
      <c r="G13" s="62" t="n">
        <f aca="false">-MAX(0,G11-G12)*Supuestos!$C$21</f>
        <v>-0</v>
      </c>
      <c r="H13" s="62" t="n">
        <f aca="false">-MAX(0,H11-H12)*Supuestos!$C$21</f>
        <v>-0</v>
      </c>
      <c r="I13" s="62" t="n">
        <f aca="false">-MAX(0,I11-I12)*Supuestos!$C$21</f>
        <v>-0</v>
      </c>
      <c r="J13" s="62" t="n">
        <f aca="false">-MAX(0,J11-J12)*Supuestos!$C$21</f>
        <v>-0</v>
      </c>
      <c r="K13" s="62" t="n">
        <f aca="false">-MAX(0,K11-K12)*Supuestos!$C$21</f>
        <v>-0</v>
      </c>
      <c r="L13" s="62" t="n">
        <f aca="false">-MAX(0,L11-L12)*Supuestos!$C$21</f>
        <v>-0</v>
      </c>
      <c r="M13" s="62" t="n">
        <f aca="false">-MAX(0,M11-M12)*Supuestos!$C$21</f>
        <v>-0</v>
      </c>
      <c r="N13" s="62" t="n">
        <f aca="false">-MAX(0,N11-N12)*Supuestos!$C$21</f>
        <v>-0</v>
      </c>
      <c r="O13" s="62" t="n">
        <f aca="false">-MAX(0,O11-O12)*Supuestos!$C$21</f>
        <v>-0</v>
      </c>
      <c r="P13" s="62" t="n">
        <f aca="false">-MAX(0,P11-P12)*Supuestos!$C$21</f>
        <v>-0</v>
      </c>
      <c r="Q13" s="62" t="n">
        <f aca="false">-MAX(0,Q11-Q12)*Supuestos!$C$21</f>
        <v>-0</v>
      </c>
      <c r="R13" s="62" t="n">
        <f aca="false">-MAX(0,R11-R12)*Supuestos!$C$21</f>
        <v>-0</v>
      </c>
      <c r="S13" s="62" t="n">
        <f aca="false">-MAX(0,S11-S12)*Supuestos!$C$21</f>
        <v>-0</v>
      </c>
      <c r="T13" s="62" t="n">
        <f aca="false">-MAX(0,T11-T12)*Supuestos!$C$21</f>
        <v>-0</v>
      </c>
      <c r="U13" s="62" t="n">
        <f aca="false">-MAX(0,U11-U12)*Supuestos!$C$21</f>
        <v>-0</v>
      </c>
      <c r="V13" s="62" t="n">
        <f aca="false">-MAX(0,V11-V12)*Supuestos!$C$21</f>
        <v>-0</v>
      </c>
      <c r="W13" s="62" t="n">
        <f aca="false">-MAX(0,W11-W12)*Supuestos!$C$21</f>
        <v>-0</v>
      </c>
      <c r="X13" s="62" t="n">
        <f aca="false">-MAX(0,X11-X12)*Supuestos!$C$21</f>
        <v>-0</v>
      </c>
      <c r="Y13" s="62" t="n">
        <f aca="false">-MAX(0,Y11-Y12)*Supuestos!$C$21</f>
        <v>-0</v>
      </c>
      <c r="Z13" s="62" t="n">
        <f aca="false">-MAX(0,Z11-Z12)*Supuestos!$C$21</f>
        <v>-0</v>
      </c>
      <c r="AA13" s="62" t="n">
        <f aca="false">-MAX(0,AA11-AA12)*Supuestos!$C$21</f>
        <v>-183.806672747846</v>
      </c>
      <c r="AB13" s="62" t="n">
        <f aca="false">-MAX(0,AB11-AB12)*Supuestos!$C$21</f>
        <v>-183.748242130598</v>
      </c>
      <c r="AC13" s="62" t="n">
        <f aca="false">-MAX(0,AC11-AC12)*Supuestos!$C$21</f>
        <v>-183.690103666437</v>
      </c>
      <c r="AD13" s="62" t="n">
        <f aca="false">-MAX(0,AD11-AD12)*Supuestos!$C$21</f>
        <v>-183.632255894596</v>
      </c>
      <c r="AE13" s="62" t="n">
        <f aca="false">-MAX(0,AE11-AE12)*Supuestos!$C$21</f>
        <v>-183.574697361615</v>
      </c>
      <c r="AF13" s="62" t="n">
        <f aca="false">-MAX(0,AF11-AF12)*Supuestos!$C$21</f>
        <v>-183.517426621298</v>
      </c>
      <c r="AG13" s="62" t="n">
        <f aca="false">-MAX(0,AG11-AG12)*Supuestos!$C$21</f>
        <v>-183.460442234683</v>
      </c>
      <c r="AH13" s="62" t="n">
        <f aca="false">-MAX(0,AH11-AH12)*Supuestos!$C$21</f>
        <v>-183.403742770001</v>
      </c>
      <c r="AI13" s="62" t="n">
        <f aca="false">-MAX(0,AI11-AI12)*Supuestos!$C$21</f>
        <v>-183.347326802643</v>
      </c>
      <c r="AJ13" s="62" t="n">
        <f aca="false">-MAX(0,AJ11-AJ12)*Supuestos!$C$21</f>
        <v>-183.291192915121</v>
      </c>
    </row>
    <row r="14" customFormat="false" ht="15" hidden="false" customHeight="false" outlineLevel="0" collapsed="false">
      <c r="A14" s="6" t="s">
        <v>623</v>
      </c>
      <c r="B14" s="2"/>
      <c r="C14" s="62" t="n">
        <f aca="false">C7+C11</f>
        <v>-10729</v>
      </c>
      <c r="D14" s="62" t="n">
        <f aca="false">D7+D11</f>
        <v>-16093.5</v>
      </c>
      <c r="E14" s="62" t="n">
        <f aca="false">E7+E11</f>
        <v>-16093.5</v>
      </c>
      <c r="F14" s="62" t="n">
        <f aca="false">F7+F11</f>
        <v>-10729</v>
      </c>
      <c r="G14" s="62" t="n">
        <f aca="false">G7+G11</f>
        <v>117.123307936417</v>
      </c>
      <c r="H14" s="62" t="n">
        <f aca="false">H7+H11</f>
        <v>366.744602372213</v>
      </c>
      <c r="I14" s="62" t="n">
        <f aca="false">I7+I11</f>
        <v>616.366973341658</v>
      </c>
      <c r="J14" s="62" t="n">
        <f aca="false">J7+J11</f>
        <v>616.153814296588</v>
      </c>
      <c r="K14" s="62" t="n">
        <f aca="false">K7+K11</f>
        <v>615.941721046743</v>
      </c>
      <c r="L14" s="62" t="n">
        <f aca="false">L7+L11</f>
        <v>615.730688263148</v>
      </c>
      <c r="M14" s="62" t="n">
        <f aca="false">M7+M11</f>
        <v>615.52071064347</v>
      </c>
      <c r="N14" s="62" t="n">
        <f aca="false">N7+N11</f>
        <v>615.311782911891</v>
      </c>
      <c r="O14" s="62" t="n">
        <f aca="false">O7+O11</f>
        <v>615.10389981897</v>
      </c>
      <c r="P14" s="62" t="n">
        <f aca="false">P7+P11</f>
        <v>614.897056141514</v>
      </c>
      <c r="Q14" s="62" t="n">
        <f aca="false">Q7+Q11</f>
        <v>614.691246682445</v>
      </c>
      <c r="R14" s="62" t="n">
        <f aca="false">R7+R11</f>
        <v>614.486466270671</v>
      </c>
      <c r="S14" s="62" t="n">
        <f aca="false">S7+S11</f>
        <v>614.282709760956</v>
      </c>
      <c r="T14" s="62" t="n">
        <f aca="false">T7+T11</f>
        <v>614.079972033789</v>
      </c>
      <c r="U14" s="62" t="n">
        <f aca="false">U7+U11</f>
        <v>613.878247995259</v>
      </c>
      <c r="V14" s="62" t="n">
        <f aca="false">V7+V11</f>
        <v>613.677532576921</v>
      </c>
      <c r="W14" s="62" t="n">
        <f aca="false">W7+W11</f>
        <v>613.477820735674</v>
      </c>
      <c r="X14" s="62" t="n">
        <f aca="false">X7+X11</f>
        <v>613.279107453634</v>
      </c>
      <c r="Y14" s="62" t="n">
        <f aca="false">Y7+Y11</f>
        <v>613.081387738005</v>
      </c>
      <c r="Z14" s="62" t="n">
        <f aca="false">Z7+Z11</f>
        <v>612.884656620953</v>
      </c>
      <c r="AA14" s="62" t="n">
        <f aca="false">AA7+AA11</f>
        <v>612.688909159487</v>
      </c>
      <c r="AB14" s="62" t="n">
        <f aca="false">AB7+AB11</f>
        <v>612.494140435327</v>
      </c>
      <c r="AC14" s="62" t="n">
        <f aca="false">AC7+AC11</f>
        <v>612.300345554789</v>
      </c>
      <c r="AD14" s="62" t="n">
        <f aca="false">AD7+AD11</f>
        <v>612.107519648654</v>
      </c>
      <c r="AE14" s="62" t="n">
        <f aca="false">AE7+AE11</f>
        <v>611.915657872049</v>
      </c>
      <c r="AF14" s="62" t="n">
        <f aca="false">AF7+AF11</f>
        <v>611.724755404327</v>
      </c>
      <c r="AG14" s="62" t="n">
        <f aca="false">AG7+AG11</f>
        <v>611.534807448943</v>
      </c>
      <c r="AH14" s="62" t="n">
        <f aca="false">AH7+AH11</f>
        <v>611.345809233337</v>
      </c>
      <c r="AI14" s="62" t="n">
        <f aca="false">AI7+AI11</f>
        <v>611.157756008809</v>
      </c>
      <c r="AJ14" s="62" t="n">
        <f aca="false">AJ7+AJ11</f>
        <v>610.970643050403</v>
      </c>
    </row>
    <row r="15" customFormat="false" ht="15" hidden="false" customHeight="false" outlineLevel="0" collapsed="false">
      <c r="A15" s="14" t="s">
        <v>624</v>
      </c>
      <c r="B15" s="2"/>
      <c r="C15" s="63" t="n">
        <f aca="false">C14+C13</f>
        <v>-10729</v>
      </c>
      <c r="D15" s="63" t="n">
        <f aca="false">D14+D13</f>
        <v>-16093.5</v>
      </c>
      <c r="E15" s="63" t="n">
        <f aca="false">E14+E13</f>
        <v>-16093.5</v>
      </c>
      <c r="F15" s="63" t="n">
        <f aca="false">F14+F13</f>
        <v>-10729</v>
      </c>
      <c r="G15" s="63" t="n">
        <f aca="false">G14+G13</f>
        <v>117.123307936417</v>
      </c>
      <c r="H15" s="63" t="n">
        <f aca="false">H14+H13</f>
        <v>366.744602372213</v>
      </c>
      <c r="I15" s="63" t="n">
        <f aca="false">I14+I13</f>
        <v>616.366973341658</v>
      </c>
      <c r="J15" s="63" t="n">
        <f aca="false">J14+J13</f>
        <v>616.153814296588</v>
      </c>
      <c r="K15" s="63" t="n">
        <f aca="false">K14+K13</f>
        <v>615.941721046743</v>
      </c>
      <c r="L15" s="63" t="n">
        <f aca="false">L14+L13</f>
        <v>615.730688263148</v>
      </c>
      <c r="M15" s="63" t="n">
        <f aca="false">M14+M13</f>
        <v>615.52071064347</v>
      </c>
      <c r="N15" s="63" t="n">
        <f aca="false">N14+N13</f>
        <v>615.311782911891</v>
      </c>
      <c r="O15" s="63" t="n">
        <f aca="false">O14+O13</f>
        <v>615.10389981897</v>
      </c>
      <c r="P15" s="63" t="n">
        <f aca="false">P14+P13</f>
        <v>614.897056141514</v>
      </c>
      <c r="Q15" s="63" t="n">
        <f aca="false">Q14+Q13</f>
        <v>614.691246682445</v>
      </c>
      <c r="R15" s="63" t="n">
        <f aca="false">R14+R13</f>
        <v>614.486466270671</v>
      </c>
      <c r="S15" s="63" t="n">
        <f aca="false">S14+S13</f>
        <v>614.282709760956</v>
      </c>
      <c r="T15" s="63" t="n">
        <f aca="false">T14+T13</f>
        <v>614.079972033789</v>
      </c>
      <c r="U15" s="63" t="n">
        <f aca="false">U14+U13</f>
        <v>613.878247995259</v>
      </c>
      <c r="V15" s="63" t="n">
        <f aca="false">V14+V13</f>
        <v>613.677532576921</v>
      </c>
      <c r="W15" s="63" t="n">
        <f aca="false">W14+W13</f>
        <v>613.477820735674</v>
      </c>
      <c r="X15" s="63" t="n">
        <f aca="false">X14+X13</f>
        <v>613.279107453634</v>
      </c>
      <c r="Y15" s="63" t="n">
        <f aca="false">Y14+Y13</f>
        <v>613.081387738005</v>
      </c>
      <c r="Z15" s="63" t="n">
        <f aca="false">Z14+Z13</f>
        <v>612.884656620953</v>
      </c>
      <c r="AA15" s="63" t="n">
        <f aca="false">AA14+AA13</f>
        <v>428.882236411641</v>
      </c>
      <c r="AB15" s="63" t="n">
        <f aca="false">AB14+AB13</f>
        <v>428.745898304729</v>
      </c>
      <c r="AC15" s="63" t="n">
        <f aca="false">AC14+AC13</f>
        <v>428.610241888352</v>
      </c>
      <c r="AD15" s="63" t="n">
        <f aca="false">AD14+AD13</f>
        <v>428.475263754057</v>
      </c>
      <c r="AE15" s="63" t="n">
        <f aca="false">AE14+AE13</f>
        <v>428.340960510434</v>
      </c>
      <c r="AF15" s="63" t="n">
        <f aca="false">AF14+AF13</f>
        <v>428.207328783029</v>
      </c>
      <c r="AG15" s="63" t="n">
        <f aca="false">AG14+AG13</f>
        <v>428.07436521426</v>
      </c>
      <c r="AH15" s="63" t="n">
        <f aca="false">AH14+AH13</f>
        <v>427.942066463336</v>
      </c>
      <c r="AI15" s="63" t="n">
        <f aca="false">AI14+AI13</f>
        <v>427.810429206166</v>
      </c>
      <c r="AJ15" s="63" t="n">
        <f aca="false">AJ14+AJ13</f>
        <v>427.679450135282</v>
      </c>
    </row>
    <row r="16" customFormat="false" ht="15" hidden="false" customHeight="false" outlineLevel="0" collapsed="false">
      <c r="A16" s="14" t="s">
        <v>625</v>
      </c>
      <c r="B16" s="2"/>
      <c r="C16" s="63" t="n">
        <f aca="false">C15</f>
        <v>-10729</v>
      </c>
      <c r="D16" s="63" t="n">
        <f aca="false">C16+D15</f>
        <v>-26822.5</v>
      </c>
      <c r="E16" s="63" t="n">
        <f aca="false">D16+E15</f>
        <v>-42916</v>
      </c>
      <c r="F16" s="63" t="n">
        <f aca="false">E16+F15</f>
        <v>-53645</v>
      </c>
      <c r="G16" s="63" t="n">
        <f aca="false">F16+G15</f>
        <v>-53527.8766920636</v>
      </c>
      <c r="H16" s="63" t="n">
        <f aca="false">G16+H15</f>
        <v>-53161.1320896914</v>
      </c>
      <c r="I16" s="63" t="n">
        <f aca="false">H16+I15</f>
        <v>-52544.7651163497</v>
      </c>
      <c r="J16" s="63" t="n">
        <f aca="false">I16+J15</f>
        <v>-51928.6113020531</v>
      </c>
      <c r="K16" s="63" t="n">
        <f aca="false">J16+K15</f>
        <v>-51312.6695810064</v>
      </c>
      <c r="L16" s="63" t="n">
        <f aca="false">K16+L15</f>
        <v>-50696.9388927432</v>
      </c>
      <c r="M16" s="63" t="n">
        <f aca="false">L16+M15</f>
        <v>-50081.4181820998</v>
      </c>
      <c r="N16" s="63" t="n">
        <f aca="false">M16+N15</f>
        <v>-49466.1063991879</v>
      </c>
      <c r="O16" s="63" t="n">
        <f aca="false">N16+O15</f>
        <v>-48851.0024993689</v>
      </c>
      <c r="P16" s="63" t="n">
        <f aca="false">O16+P15</f>
        <v>-48236.1054432274</v>
      </c>
      <c r="Q16" s="63" t="n">
        <f aca="false">P16+Q15</f>
        <v>-47621.4141965449</v>
      </c>
      <c r="R16" s="63" t="n">
        <f aca="false">Q16+R15</f>
        <v>-47006.9277302743</v>
      </c>
      <c r="S16" s="63" t="n">
        <f aca="false">R16+S15</f>
        <v>-46392.6450205133</v>
      </c>
      <c r="T16" s="63" t="n">
        <f aca="false">S16+T15</f>
        <v>-45778.5650484795</v>
      </c>
      <c r="U16" s="63" t="n">
        <f aca="false">T16+U15</f>
        <v>-45164.6868004843</v>
      </c>
      <c r="V16" s="63" t="n">
        <f aca="false">U16+V15</f>
        <v>-44551.0092679074</v>
      </c>
      <c r="W16" s="63" t="n">
        <f aca="false">V16+W15</f>
        <v>-43937.5314471717</v>
      </c>
      <c r="X16" s="63" t="n">
        <f aca="false">W16+X15</f>
        <v>-43324.2523397181</v>
      </c>
      <c r="Y16" s="63" t="n">
        <f aca="false">X16+Y15</f>
        <v>-42711.17095198</v>
      </c>
      <c r="Z16" s="63" t="n">
        <f aca="false">Y16+Z15</f>
        <v>-42098.2862953591</v>
      </c>
      <c r="AA16" s="63" t="n">
        <f aca="false">Z16+AA15</f>
        <v>-41669.4040589474</v>
      </c>
      <c r="AB16" s="63" t="n">
        <f aca="false">AA16+AB15</f>
        <v>-41240.6581606427</v>
      </c>
      <c r="AC16" s="63" t="n">
        <f aca="false">AB16+AC15</f>
        <v>-40812.0479187544</v>
      </c>
      <c r="AD16" s="63" t="n">
        <f aca="false">AC16+AD15</f>
        <v>-40383.5726550003</v>
      </c>
      <c r="AE16" s="63" t="n">
        <f aca="false">AD16+AE15</f>
        <v>-39955.2316944899</v>
      </c>
      <c r="AF16" s="63" t="n">
        <f aca="false">AE16+AF15</f>
        <v>-39527.0243657068</v>
      </c>
      <c r="AG16" s="63" t="n">
        <f aca="false">AF16+AG15</f>
        <v>-39098.9500004926</v>
      </c>
      <c r="AH16" s="63" t="n">
        <f aca="false">AG16+AH15</f>
        <v>-38671.0079340292</v>
      </c>
      <c r="AI16" s="63" t="n">
        <f aca="false">AH16+AI15</f>
        <v>-38243.1975048231</v>
      </c>
      <c r="AJ16" s="63" t="n">
        <f aca="false">AI16+AJ15</f>
        <v>-37815.5180546878</v>
      </c>
    </row>
    <row r="17" customFormat="false" ht="15" hidden="false" customHeight="false" outlineLevel="0" collapsed="false">
      <c r="A17" s="6" t="s">
        <v>626</v>
      </c>
      <c r="B17" s="2"/>
      <c r="C17" s="62" t="n">
        <f aca="false">C15/(1+Supuestos!$C$20)^0</f>
        <v>-10729</v>
      </c>
      <c r="D17" s="62" t="n">
        <f aca="false">D15/(1+Supuestos!$C$20)^1</f>
        <v>-14764.6788990826</v>
      </c>
      <c r="E17" s="62" t="n">
        <f aca="false">E15/(1+Supuestos!$C$20)^2</f>
        <v>-13545.5769716354</v>
      </c>
      <c r="F17" s="62" t="n">
        <f aca="false">F15/(1+Supuestos!$C$20)^3</f>
        <v>-8284.75655757516</v>
      </c>
      <c r="G17" s="62" t="n">
        <f aca="false">G15/(1+Supuestos!$C$20)^4</f>
        <v>82.9731041455098</v>
      </c>
      <c r="H17" s="62" t="n">
        <f aca="false">H15/(1+Supuestos!$C$20)^5</f>
        <v>238.358827837208</v>
      </c>
      <c r="I17" s="62" t="n">
        <f aca="false">I15/(1+Supuestos!$C$20)^6</f>
        <v>367.519487571063</v>
      </c>
      <c r="J17" s="62" t="n">
        <f aca="false">J15/(1+Supuestos!$C$20)^7</f>
        <v>337.057236511063</v>
      </c>
      <c r="K17" s="62" t="n">
        <f aca="false">K15/(1+Supuestos!$C$20)^8</f>
        <v>309.120380036971</v>
      </c>
      <c r="L17" s="62" t="n">
        <f aca="false">L15/(1+Supuestos!$C$20)^9</f>
        <v>283.499513577045</v>
      </c>
      <c r="M17" s="62" t="n">
        <f aca="false">M15/(1+Supuestos!$C$20)^10</f>
        <v>260.002600043916</v>
      </c>
      <c r="N17" s="62" t="n">
        <f aca="false">N15/(1+Supuestos!$C$20)^11</f>
        <v>238.453529093795</v>
      </c>
      <c r="O17" s="62" t="n">
        <f aca="false">O15/(1+Supuestos!$C$20)^12</f>
        <v>218.690795932343</v>
      </c>
      <c r="P17" s="62" t="n">
        <f aca="false">P15/(1+Supuestos!$C$20)^13</f>
        <v>200.566289745265</v>
      </c>
      <c r="Q17" s="62" t="n">
        <f aca="false">Q15/(1+Supuestos!$C$20)^14</f>
        <v>183.944182655403</v>
      </c>
      <c r="R17" s="62" t="n">
        <f aca="false">R15/(1+Supuestos!$C$20)^15</f>
        <v>168.699910863369</v>
      </c>
      <c r="S17" s="62" t="n">
        <f aca="false">S15/(1+Supuestos!$C$20)^16</f>
        <v>154.719240321364</v>
      </c>
      <c r="T17" s="62" t="n">
        <f aca="false">T15/(1+Supuestos!$C$20)^17</f>
        <v>141.897409924897</v>
      </c>
      <c r="U17" s="62" t="n">
        <f aca="false">U15/(1+Supuestos!$C$20)^18</f>
        <v>130.138345789435</v>
      </c>
      <c r="V17" s="62" t="n">
        <f aca="false">V15/(1+Supuestos!$C$20)^19</f>
        <v>119.353940713024</v>
      </c>
      <c r="W17" s="62" t="n">
        <f aca="false">W15/(1+Supuestos!$C$20)^20</f>
        <v>109.463393415552</v>
      </c>
      <c r="X17" s="62" t="n">
        <f aca="false">X15/(1+Supuestos!$C$20)^21</f>
        <v>100.392602594336</v>
      </c>
      <c r="Y17" s="62" t="n">
        <f aca="false">Y15/(1+Supuestos!$C$20)^22</f>
        <v>92.0736112474027</v>
      </c>
      <c r="Z17" s="62" t="n">
        <f aca="false">Z15/(1+Supuestos!$C$20)^23</f>
        <v>84.4440970934055</v>
      </c>
      <c r="AA17" s="62" t="n">
        <f aca="false">AA15/(1+Supuestos!$C$20)^24</f>
        <v>54.2128336842937</v>
      </c>
      <c r="AB17" s="62" t="n">
        <f aca="false">AB15/(1+Supuestos!$C$20)^25</f>
        <v>49.7207338293275</v>
      </c>
      <c r="AC17" s="62" t="n">
        <f aca="false">AC15/(1+Supuestos!$C$20)^26</f>
        <v>45.6009193104048</v>
      </c>
      <c r="AD17" s="62" t="n">
        <f aca="false">AD15/(1+Supuestos!$C$20)^27</f>
        <v>41.8225308696741</v>
      </c>
      <c r="AE17" s="62" t="n">
        <f aca="false">AE15/(1+Supuestos!$C$20)^28</f>
        <v>38.3572677289766</v>
      </c>
      <c r="AF17" s="62" t="n">
        <f aca="false">AF15/(1+Supuestos!$C$20)^29</f>
        <v>35.1791754269172</v>
      </c>
      <c r="AG17" s="62" t="n">
        <f aca="false">AG15/(1+Supuestos!$C$20)^30</f>
        <v>32.2644512534897</v>
      </c>
      <c r="AH17" s="62" t="n">
        <f aca="false">AH15/(1+Supuestos!$C$20)^31</f>
        <v>29.5912658223157</v>
      </c>
      <c r="AI17" s="62" t="n">
        <f aca="false">AI15/(1+Supuestos!$C$20)^32</f>
        <v>27.139599441709</v>
      </c>
      <c r="AJ17" s="62" t="n">
        <f aca="false">AJ15/(1+Supuestos!$C$20)^33</f>
        <v>24.8910920568674</v>
      </c>
    </row>
    <row r="18" customFormat="false" ht="15" hidden="false" customHeight="false" outlineLevel="0" collapsed="false">
      <c r="A18" s="6" t="s">
        <v>627</v>
      </c>
      <c r="B18" s="2"/>
      <c r="C18" s="62" t="n">
        <f aca="false">C17</f>
        <v>-10729</v>
      </c>
      <c r="D18" s="62" t="n">
        <f aca="false">C18+D17</f>
        <v>-25493.6788990826</v>
      </c>
      <c r="E18" s="62" t="n">
        <f aca="false">D18+E17</f>
        <v>-39039.255870718</v>
      </c>
      <c r="F18" s="62" t="n">
        <f aca="false">E18+F17</f>
        <v>-47324.0124282931</v>
      </c>
      <c r="G18" s="62" t="n">
        <f aca="false">F18+G17</f>
        <v>-47241.0393241476</v>
      </c>
      <c r="H18" s="62" t="n">
        <f aca="false">G18+H17</f>
        <v>-47002.6804963104</v>
      </c>
      <c r="I18" s="62" t="n">
        <f aca="false">H18+I17</f>
        <v>-46635.1610087393</v>
      </c>
      <c r="J18" s="62" t="n">
        <f aca="false">I18+J17</f>
        <v>-46298.1037722283</v>
      </c>
      <c r="K18" s="62" t="n">
        <f aca="false">J18+K17</f>
        <v>-45988.9833921913</v>
      </c>
      <c r="L18" s="62" t="n">
        <f aca="false">K18+L17</f>
        <v>-45705.4838786143</v>
      </c>
      <c r="M18" s="62" t="n">
        <f aca="false">L18+M17</f>
        <v>-45445.4812785703</v>
      </c>
      <c r="N18" s="62" t="n">
        <f aca="false">M18+N17</f>
        <v>-45207.0277494765</v>
      </c>
      <c r="O18" s="62" t="n">
        <f aca="false">N18+O17</f>
        <v>-44988.3369535442</v>
      </c>
      <c r="P18" s="62" t="n">
        <f aca="false">O18+P17</f>
        <v>-44787.7706637989</v>
      </c>
      <c r="Q18" s="62" t="n">
        <f aca="false">P18+Q17</f>
        <v>-44603.8264811435</v>
      </c>
      <c r="R18" s="62" t="n">
        <f aca="false">Q18+R17</f>
        <v>-44435.1265702802</v>
      </c>
      <c r="S18" s="62" t="n">
        <f aca="false">R18+S17</f>
        <v>-44280.4073299588</v>
      </c>
      <c r="T18" s="62" t="n">
        <f aca="false">S18+T17</f>
        <v>-44138.5099200339</v>
      </c>
      <c r="U18" s="62" t="n">
        <f aca="false">T18+U17</f>
        <v>-44008.3715742445</v>
      </c>
      <c r="V18" s="62" t="n">
        <f aca="false">U18+V17</f>
        <v>-43889.0176335314</v>
      </c>
      <c r="W18" s="62" t="n">
        <f aca="false">V18+W17</f>
        <v>-43779.5542401159</v>
      </c>
      <c r="X18" s="62" t="n">
        <f aca="false">W18+X17</f>
        <v>-43679.1616375216</v>
      </c>
      <c r="Y18" s="62" t="n">
        <f aca="false">X18+Y17</f>
        <v>-43587.0880262742</v>
      </c>
      <c r="Z18" s="62" t="n">
        <f aca="false">Y18+Z17</f>
        <v>-43502.6439291808</v>
      </c>
      <c r="AA18" s="62" t="n">
        <f aca="false">Z18+AA17</f>
        <v>-43448.4310954965</v>
      </c>
      <c r="AB18" s="62" t="n">
        <f aca="false">AA18+AB17</f>
        <v>-43398.7103616671</v>
      </c>
      <c r="AC18" s="62" t="n">
        <f aca="false">AB18+AC17</f>
        <v>-43353.1094423567</v>
      </c>
      <c r="AD18" s="62" t="n">
        <f aca="false">AC18+AD17</f>
        <v>-43311.2869114871</v>
      </c>
      <c r="AE18" s="62" t="n">
        <f aca="false">AD18+AE17</f>
        <v>-43272.9296437581</v>
      </c>
      <c r="AF18" s="62" t="n">
        <f aca="false">AE18+AF17</f>
        <v>-43237.7504683312</v>
      </c>
      <c r="AG18" s="62" t="n">
        <f aca="false">AF18+AG17</f>
        <v>-43205.4860170777</v>
      </c>
      <c r="AH18" s="62" t="n">
        <f aca="false">AG18+AH17</f>
        <v>-43175.8947512554</v>
      </c>
      <c r="AI18" s="62" t="n">
        <f aca="false">AH18+AI17</f>
        <v>-43148.7551518136</v>
      </c>
      <c r="AJ18" s="62" t="n">
        <f aca="false">AI18+AJ17</f>
        <v>-43123.8640597568</v>
      </c>
    </row>
    <row r="19" customFormat="false" ht="15" hidden="false" customHeight="false" outlineLevel="0" collapsed="false">
      <c r="A19" s="14" t="s">
        <v>30</v>
      </c>
      <c r="B19" s="26" t="n">
        <f aca="false">SUM(C17:AJ17)</f>
        <v>-43123.8640597568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 customFormat="false" ht="15" hidden="false" customHeight="false" outlineLevel="0" collapsed="false">
      <c r="A20" s="14" t="s">
        <v>28</v>
      </c>
      <c r="B20" s="64" t="n">
        <f aca="false">IFERROR(IRR(C14:AJ14,0.02),IFERROR(IRR(C14:AJ14,-0.05),"negativa"))</f>
        <v>-0.0554369182512797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customFormat="false" ht="15" hidden="false" customHeight="false" outlineLevel="0" collapsed="false">
      <c r="A21" s="14" t="s">
        <v>29</v>
      </c>
      <c r="B21" s="64" t="n">
        <f aca="false">IFERROR(IRR(C15:AJ15,0.02),IFERROR(IRR(C15:AJ15,-0.05),"negativa"))</f>
        <v>-0.0635611916849186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customFormat="false" ht="15" hidden="false" customHeight="false" outlineLevel="0" collapsed="false">
      <c r="A22" s="14" t="s">
        <v>628</v>
      </c>
      <c r="B22" s="65" t="str">
        <f aca="false">IF(COUNTIF(G16:AJ16,"&lt;0")&gt;=30,"más de 30",COUNTIF(G16:AJ16,"&lt;0")+1)</f>
        <v>más de 30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customFormat="false" ht="15" hidden="false" customHeight="false" outlineLevel="0" collapsed="false">
      <c r="A23" s="14" t="s">
        <v>629</v>
      </c>
      <c r="B23" s="65" t="str">
        <f aca="false">IF(COUNTIF(G18:AJ18,"&lt;0")&gt;=30,"más de 30",COUNTIF(G18:AJ18,"&lt;0")+1)</f>
        <v>más de 30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 customFormat="false" ht="15" hidden="false" customHeight="false" outlineLevel="0" collapsed="false">
      <c r="A24" s="14" t="s">
        <v>630</v>
      </c>
      <c r="B24" s="26" t="n">
        <f aca="false">AJ16</f>
        <v>-37815.5180546878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customFormat="false" ht="15" hidden="false" customHeight="false" outlineLevel="0" collapsed="false">
      <c r="A27" s="57" t="s">
        <v>631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</row>
    <row r="28" customFormat="false" ht="15" hidden="false" customHeight="false" outlineLevel="0" collapsed="false">
      <c r="A28" s="6" t="s">
        <v>582</v>
      </c>
      <c r="B28" s="2"/>
      <c r="C28" s="59" t="s">
        <v>583</v>
      </c>
      <c r="D28" s="59" t="s">
        <v>584</v>
      </c>
      <c r="E28" s="59" t="s">
        <v>585</v>
      </c>
      <c r="F28" s="59" t="s">
        <v>586</v>
      </c>
      <c r="G28" s="59" t="s">
        <v>587</v>
      </c>
      <c r="H28" s="59" t="s">
        <v>588</v>
      </c>
      <c r="I28" s="59" t="s">
        <v>589</v>
      </c>
      <c r="J28" s="59" t="s">
        <v>590</v>
      </c>
      <c r="K28" s="59" t="s">
        <v>591</v>
      </c>
      <c r="L28" s="59" t="s">
        <v>592</v>
      </c>
      <c r="M28" s="59" t="s">
        <v>593</v>
      </c>
      <c r="N28" s="59" t="s">
        <v>594</v>
      </c>
      <c r="O28" s="59" t="s">
        <v>595</v>
      </c>
      <c r="P28" s="59" t="s">
        <v>596</v>
      </c>
      <c r="Q28" s="59" t="s">
        <v>597</v>
      </c>
      <c r="R28" s="59" t="s">
        <v>598</v>
      </c>
      <c r="S28" s="59" t="s">
        <v>599</v>
      </c>
      <c r="T28" s="59" t="s">
        <v>600</v>
      </c>
      <c r="U28" s="59" t="s">
        <v>601</v>
      </c>
      <c r="V28" s="59" t="s">
        <v>602</v>
      </c>
      <c r="W28" s="59" t="s">
        <v>603</v>
      </c>
      <c r="X28" s="59" t="s">
        <v>604</v>
      </c>
      <c r="Y28" s="59" t="s">
        <v>605</v>
      </c>
      <c r="Z28" s="59" t="s">
        <v>606</v>
      </c>
      <c r="AA28" s="59" t="s">
        <v>607</v>
      </c>
      <c r="AB28" s="59" t="s">
        <v>608</v>
      </c>
      <c r="AC28" s="59" t="s">
        <v>609</v>
      </c>
      <c r="AD28" s="59" t="s">
        <v>610</v>
      </c>
      <c r="AE28" s="59" t="s">
        <v>611</v>
      </c>
      <c r="AF28" s="59" t="s">
        <v>612</v>
      </c>
      <c r="AG28" s="59" t="s">
        <v>613</v>
      </c>
      <c r="AH28" s="59" t="s">
        <v>614</v>
      </c>
      <c r="AI28" s="59" t="s">
        <v>615</v>
      </c>
      <c r="AJ28" s="59" t="s">
        <v>616</v>
      </c>
    </row>
    <row r="29" customFormat="false" ht="15" hidden="false" customHeight="false" outlineLevel="0" collapsed="false">
      <c r="A29" s="6" t="s">
        <v>617</v>
      </c>
      <c r="B29" s="2"/>
      <c r="C29" s="60" t="n">
        <f aca="false">Supuestos!$D$14</f>
        <v>0.2</v>
      </c>
      <c r="D29" s="60" t="n">
        <f aca="false">Supuestos!$D$15</f>
        <v>0.3</v>
      </c>
      <c r="E29" s="60" t="n">
        <f aca="false">Supuestos!$D$16</f>
        <v>0.3</v>
      </c>
      <c r="F29" s="60" t="n">
        <f aca="false">Supuestos!$D$17</f>
        <v>0.2</v>
      </c>
      <c r="G29" s="60" t="n">
        <f aca="false">Supuestos!$D$18</f>
        <v>0.85</v>
      </c>
      <c r="H29" s="60" t="n">
        <f aca="false">Supuestos!$D$19</f>
        <v>0.95</v>
      </c>
      <c r="I29" s="61" t="n">
        <v>1</v>
      </c>
      <c r="J29" s="61" t="n">
        <v>1</v>
      </c>
      <c r="K29" s="61" t="n">
        <v>1</v>
      </c>
      <c r="L29" s="61" t="n">
        <v>1</v>
      </c>
      <c r="M29" s="61" t="n">
        <v>1</v>
      </c>
      <c r="N29" s="61" t="n">
        <v>1</v>
      </c>
      <c r="O29" s="61" t="n">
        <v>1</v>
      </c>
      <c r="P29" s="61" t="n">
        <v>1</v>
      </c>
      <c r="Q29" s="61" t="n">
        <v>1</v>
      </c>
      <c r="R29" s="61" t="n">
        <v>1</v>
      </c>
      <c r="S29" s="61" t="n">
        <v>1</v>
      </c>
      <c r="T29" s="61" t="n">
        <v>1</v>
      </c>
      <c r="U29" s="61" t="n">
        <v>1</v>
      </c>
      <c r="V29" s="61" t="n">
        <v>1</v>
      </c>
      <c r="W29" s="61" t="n">
        <v>1</v>
      </c>
      <c r="X29" s="61" t="n">
        <v>1</v>
      </c>
      <c r="Y29" s="61" t="n">
        <v>1</v>
      </c>
      <c r="Z29" s="61" t="n">
        <v>1</v>
      </c>
      <c r="AA29" s="61" t="n">
        <v>1</v>
      </c>
      <c r="AB29" s="61" t="n">
        <v>1</v>
      </c>
      <c r="AC29" s="61" t="n">
        <v>1</v>
      </c>
      <c r="AD29" s="61" t="n">
        <v>1</v>
      </c>
      <c r="AE29" s="61" t="n">
        <v>1</v>
      </c>
      <c r="AF29" s="61" t="n">
        <v>1</v>
      </c>
      <c r="AG29" s="61" t="n">
        <v>1</v>
      </c>
      <c r="AH29" s="61" t="n">
        <v>1</v>
      </c>
      <c r="AI29" s="61" t="n">
        <v>1</v>
      </c>
      <c r="AJ29" s="61" t="n">
        <v>1</v>
      </c>
    </row>
    <row r="30" customFormat="false" ht="15" hidden="false" customHeight="false" outlineLevel="0" collapsed="false">
      <c r="A30" s="6" t="s">
        <v>618</v>
      </c>
      <c r="B30" s="2"/>
      <c r="C30" s="62" t="n">
        <f aca="false">-(Supuestos!$D$8+Supuestos!$D$13)*C29</f>
        <v>-10709</v>
      </c>
      <c r="D30" s="62" t="n">
        <f aca="false">-(Supuestos!$D$8+Supuestos!$D$13)*D29</f>
        <v>-16063.5</v>
      </c>
      <c r="E30" s="62" t="n">
        <f aca="false">-(Supuestos!$D$8+Supuestos!$D$13)*E29</f>
        <v>-16063.5</v>
      </c>
      <c r="F30" s="62" t="n">
        <f aca="false">-(Supuestos!$D$8+Supuestos!$D$13)*F29</f>
        <v>-10709</v>
      </c>
      <c r="G30" s="62" t="n">
        <v>0</v>
      </c>
      <c r="H30" s="62" t="n">
        <v>0</v>
      </c>
      <c r="I30" s="62" t="n">
        <v>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2" t="n">
        <v>0</v>
      </c>
      <c r="AB30" s="62" t="n">
        <v>0</v>
      </c>
      <c r="AC30" s="62" t="n">
        <v>0</v>
      </c>
      <c r="AD30" s="62" t="n">
        <v>0</v>
      </c>
      <c r="AE30" s="62" t="n">
        <v>0</v>
      </c>
      <c r="AF30" s="62" t="n">
        <v>0</v>
      </c>
      <c r="AG30" s="62" t="n">
        <v>0</v>
      </c>
      <c r="AH30" s="62" t="n">
        <v>0</v>
      </c>
      <c r="AI30" s="62" t="n">
        <v>0</v>
      </c>
      <c r="AJ30" s="62" t="n">
        <v>0</v>
      </c>
    </row>
    <row r="31" customFormat="false" ht="15" hidden="false" customHeight="false" outlineLevel="0" collapsed="false">
      <c r="A31" s="6" t="s">
        <v>619</v>
      </c>
      <c r="B31" s="2"/>
      <c r="C31" s="62" t="n">
        <v>0</v>
      </c>
      <c r="D31" s="62" t="n">
        <v>0</v>
      </c>
      <c r="E31" s="62" t="n">
        <v>0</v>
      </c>
      <c r="F31" s="62" t="n">
        <v>0</v>
      </c>
      <c r="G31" s="62" t="n">
        <f aca="false">Ingresos!$D$68*G29</f>
        <v>3796.4718615936</v>
      </c>
      <c r="H31" s="62" t="n">
        <f aca="false">Ingresos!$D$68*H29</f>
        <v>4243.11561001638</v>
      </c>
      <c r="I31" s="62" t="n">
        <f aca="false">Ingresos!$D$68*I29</f>
        <v>4466.43748422777</v>
      </c>
      <c r="J31" s="62" t="n">
        <f aca="false">Ingresos!$D$68*J29</f>
        <v>4466.43748422777</v>
      </c>
      <c r="K31" s="62" t="n">
        <f aca="false">Ingresos!$D$68*K29</f>
        <v>4466.43748422777</v>
      </c>
      <c r="L31" s="62" t="n">
        <f aca="false">Ingresos!$D$68*L29</f>
        <v>4466.43748422777</v>
      </c>
      <c r="M31" s="62" t="n">
        <f aca="false">Ingresos!$D$68*M29</f>
        <v>4466.43748422777</v>
      </c>
      <c r="N31" s="62" t="n">
        <f aca="false">Ingresos!$D$68*N29</f>
        <v>4466.43748422777</v>
      </c>
      <c r="O31" s="62" t="n">
        <f aca="false">Ingresos!$D$68*O29</f>
        <v>4466.43748422777</v>
      </c>
      <c r="P31" s="62" t="n">
        <f aca="false">Ingresos!$D$68*P29</f>
        <v>4466.43748422777</v>
      </c>
      <c r="Q31" s="62" t="n">
        <f aca="false">Ingresos!$D$68*Q29</f>
        <v>4466.43748422777</v>
      </c>
      <c r="R31" s="62" t="n">
        <f aca="false">Ingresos!$D$68*R29</f>
        <v>4466.43748422777</v>
      </c>
      <c r="S31" s="62" t="n">
        <f aca="false">Ingresos!$D$68*S29</f>
        <v>4466.43748422777</v>
      </c>
      <c r="T31" s="62" t="n">
        <f aca="false">Ingresos!$D$68*T29</f>
        <v>4466.43748422777</v>
      </c>
      <c r="U31" s="62" t="n">
        <f aca="false">Ingresos!$D$68*U29</f>
        <v>4466.43748422777</v>
      </c>
      <c r="V31" s="62" t="n">
        <f aca="false">Ingresos!$D$68*V29</f>
        <v>4466.43748422777</v>
      </c>
      <c r="W31" s="62" t="n">
        <f aca="false">Ingresos!$D$68*W29</f>
        <v>4466.43748422777</v>
      </c>
      <c r="X31" s="62" t="n">
        <f aca="false">Ingresos!$D$68*X29</f>
        <v>4466.43748422777</v>
      </c>
      <c r="Y31" s="62" t="n">
        <f aca="false">Ingresos!$D$68*Y29</f>
        <v>4466.43748422777</v>
      </c>
      <c r="Z31" s="62" t="n">
        <f aca="false">Ingresos!$D$68*Z29</f>
        <v>4466.43748422777</v>
      </c>
      <c r="AA31" s="62" t="n">
        <f aca="false">Ingresos!$D$68*AA29</f>
        <v>4466.43748422777</v>
      </c>
      <c r="AB31" s="62" t="n">
        <f aca="false">Ingresos!$D$68*AB29</f>
        <v>4466.43748422777</v>
      </c>
      <c r="AC31" s="62" t="n">
        <f aca="false">Ingresos!$D$68*AC29</f>
        <v>4466.43748422777</v>
      </c>
      <c r="AD31" s="62" t="n">
        <f aca="false">Ingresos!$D$68*AD29</f>
        <v>4466.43748422777</v>
      </c>
      <c r="AE31" s="62" t="n">
        <f aca="false">Ingresos!$D$68*AE29</f>
        <v>4466.43748422777</v>
      </c>
      <c r="AF31" s="62" t="n">
        <f aca="false">Ingresos!$D$68*AF29</f>
        <v>4466.43748422777</v>
      </c>
      <c r="AG31" s="62" t="n">
        <f aca="false">Ingresos!$D$68*AG29</f>
        <v>4466.43748422777</v>
      </c>
      <c r="AH31" s="62" t="n">
        <f aca="false">Ingresos!$D$68*AH29</f>
        <v>4466.43748422777</v>
      </c>
      <c r="AI31" s="62" t="n">
        <f aca="false">Ingresos!$D$68*AI29</f>
        <v>4466.43748422777</v>
      </c>
      <c r="AJ31" s="62" t="n">
        <f aca="false">Ingresos!$D$68*AJ29</f>
        <v>4466.43748422777</v>
      </c>
    </row>
    <row r="32" customFormat="false" ht="15" hidden="false" customHeight="false" outlineLevel="0" collapsed="false">
      <c r="A32" s="6" t="s">
        <v>20</v>
      </c>
      <c r="B32" s="2"/>
      <c r="C32" s="62" t="n">
        <v>0</v>
      </c>
      <c r="D32" s="62" t="n">
        <v>0</v>
      </c>
      <c r="E32" s="62" t="n">
        <v>0</v>
      </c>
      <c r="F32" s="62" t="n">
        <v>0</v>
      </c>
      <c r="G32" s="62" t="n">
        <f aca="false">-Costos_Operacion!$D$42</f>
        <v>-1718.09656364913</v>
      </c>
      <c r="H32" s="62" t="n">
        <f aca="false">-Costos_Operacion!$D$42</f>
        <v>-1718.09656364913</v>
      </c>
      <c r="I32" s="62" t="n">
        <f aca="false">-Costos_Operacion!$D$42</f>
        <v>-1718.09656364913</v>
      </c>
      <c r="J32" s="62" t="n">
        <f aca="false">-Costos_Operacion!$D$42</f>
        <v>-1718.09656364913</v>
      </c>
      <c r="K32" s="62" t="n">
        <f aca="false">-Costos_Operacion!$D$42</f>
        <v>-1718.09656364913</v>
      </c>
      <c r="L32" s="62" t="n">
        <f aca="false">-Costos_Operacion!$D$42</f>
        <v>-1718.09656364913</v>
      </c>
      <c r="M32" s="62" t="n">
        <f aca="false">-Costos_Operacion!$D$42</f>
        <v>-1718.09656364913</v>
      </c>
      <c r="N32" s="62" t="n">
        <f aca="false">-Costos_Operacion!$D$42</f>
        <v>-1718.09656364913</v>
      </c>
      <c r="O32" s="62" t="n">
        <f aca="false">-Costos_Operacion!$D$42</f>
        <v>-1718.09656364913</v>
      </c>
      <c r="P32" s="62" t="n">
        <f aca="false">-Costos_Operacion!$D$42</f>
        <v>-1718.09656364913</v>
      </c>
      <c r="Q32" s="62" t="n">
        <f aca="false">-Costos_Operacion!$D$42</f>
        <v>-1718.09656364913</v>
      </c>
      <c r="R32" s="62" t="n">
        <f aca="false">-Costos_Operacion!$D$42</f>
        <v>-1718.09656364913</v>
      </c>
      <c r="S32" s="62" t="n">
        <f aca="false">-Costos_Operacion!$D$42</f>
        <v>-1718.09656364913</v>
      </c>
      <c r="T32" s="62" t="n">
        <f aca="false">-Costos_Operacion!$D$42</f>
        <v>-1718.09656364913</v>
      </c>
      <c r="U32" s="62" t="n">
        <f aca="false">-Costos_Operacion!$D$42</f>
        <v>-1718.09656364913</v>
      </c>
      <c r="V32" s="62" t="n">
        <f aca="false">-Costos_Operacion!$D$42</f>
        <v>-1718.09656364913</v>
      </c>
      <c r="W32" s="62" t="n">
        <f aca="false">-Costos_Operacion!$D$42</f>
        <v>-1718.09656364913</v>
      </c>
      <c r="X32" s="62" t="n">
        <f aca="false">-Costos_Operacion!$D$42</f>
        <v>-1718.09656364913</v>
      </c>
      <c r="Y32" s="62" t="n">
        <f aca="false">-Costos_Operacion!$D$42</f>
        <v>-1718.09656364913</v>
      </c>
      <c r="Z32" s="62" t="n">
        <f aca="false">-Costos_Operacion!$D$42</f>
        <v>-1718.09656364913</v>
      </c>
      <c r="AA32" s="62" t="n">
        <f aca="false">-Costos_Operacion!$D$42</f>
        <v>-1718.09656364913</v>
      </c>
      <c r="AB32" s="62" t="n">
        <f aca="false">-Costos_Operacion!$D$42</f>
        <v>-1718.09656364913</v>
      </c>
      <c r="AC32" s="62" t="n">
        <f aca="false">-Costos_Operacion!$D$42</f>
        <v>-1718.09656364913</v>
      </c>
      <c r="AD32" s="62" t="n">
        <f aca="false">-Costos_Operacion!$D$42</f>
        <v>-1718.09656364913</v>
      </c>
      <c r="AE32" s="62" t="n">
        <f aca="false">-Costos_Operacion!$D$42</f>
        <v>-1718.09656364913</v>
      </c>
      <c r="AF32" s="62" t="n">
        <f aca="false">-Costos_Operacion!$D$42</f>
        <v>-1718.09656364913</v>
      </c>
      <c r="AG32" s="62" t="n">
        <f aca="false">-Costos_Operacion!$D$42</f>
        <v>-1718.09656364913</v>
      </c>
      <c r="AH32" s="62" t="n">
        <f aca="false">-Costos_Operacion!$D$42</f>
        <v>-1718.09656364913</v>
      </c>
      <c r="AI32" s="62" t="n">
        <f aca="false">-Costos_Operacion!$D$42</f>
        <v>-1718.09656364913</v>
      </c>
      <c r="AJ32" s="62" t="n">
        <f aca="false">-Costos_Operacion!$D$42</f>
        <v>-1718.09656364913</v>
      </c>
    </row>
    <row r="33" customFormat="false" ht="15" hidden="false" customHeight="false" outlineLevel="0" collapsed="false">
      <c r="A33" s="6" t="s">
        <v>620</v>
      </c>
      <c r="B33" s="2"/>
      <c r="C33" s="62" t="n">
        <v>0</v>
      </c>
      <c r="D33" s="62" t="n">
        <v>0</v>
      </c>
      <c r="E33" s="62" t="n">
        <v>0</v>
      </c>
      <c r="F33" s="62" t="n">
        <v>0</v>
      </c>
      <c r="G33" s="62" t="n">
        <f aca="false">-Energia!$D$20*(1-(1-Supuestos!$D$146)^(1-1))*Supuestos!$D$153</f>
        <v>-0</v>
      </c>
      <c r="H33" s="62" t="n">
        <f aca="false">-Energia!$D$20*(1-(1-Supuestos!$D$146)^(2-1))*Supuestos!$D$153</f>
        <v>-0.222946490842582</v>
      </c>
      <c r="I33" s="62" t="n">
        <f aca="false">-Energia!$D$20*(1-(1-Supuestos!$D$146)^(3-1))*Supuestos!$D$153</f>
        <v>-0.444778249230949</v>
      </c>
      <c r="J33" s="62" t="n">
        <f aca="false">-Energia!$D$20*(1-(1-Supuestos!$D$146)^(4-1))*Supuestos!$D$153</f>
        <v>-0.665500848827377</v>
      </c>
      <c r="K33" s="62" t="n">
        <f aca="false">-Energia!$D$20*(1-(1-Supuestos!$D$146)^(5-1))*Supuestos!$D$153</f>
        <v>-0.885119835425825</v>
      </c>
      <c r="L33" s="62" t="n">
        <f aca="false">-Energia!$D$20*(1-(1-Supuestos!$D$146)^(6-1))*Supuestos!$D$153</f>
        <v>-1.10364072709128</v>
      </c>
      <c r="M33" s="62" t="n">
        <f aca="false">-Energia!$D$20*(1-(1-Supuestos!$D$146)^(7-1))*Supuestos!$D$153</f>
        <v>-1.3210690142984</v>
      </c>
      <c r="N33" s="62" t="n">
        <f aca="false">-Energia!$D$20*(1-(1-Supuestos!$D$146)^(8-1))*Supuestos!$D$153</f>
        <v>-1.53741016006949</v>
      </c>
      <c r="O33" s="62" t="n">
        <f aca="false">-Energia!$D$20*(1-(1-Supuestos!$D$146)^(9-1))*Supuestos!$D$153</f>
        <v>-1.75266960011173</v>
      </c>
      <c r="P33" s="62" t="n">
        <f aca="false">-Energia!$D$20*(1-(1-Supuestos!$D$146)^(10-1))*Supuestos!$D$153</f>
        <v>-1.96685274295375</v>
      </c>
      <c r="Q33" s="62" t="n">
        <f aca="false">-Energia!$D$20*(1-(1-Supuestos!$D$146)^(11-1))*Supuestos!$D$153</f>
        <v>-2.17996497008156</v>
      </c>
      <c r="R33" s="62" t="n">
        <f aca="false">-Energia!$D$20*(1-(1-Supuestos!$D$146)^(12-1))*Supuestos!$D$153</f>
        <v>-2.39201163607374</v>
      </c>
      <c r="S33" s="62" t="n">
        <f aca="false">-Energia!$D$20*(1-(1-Supuestos!$D$146)^(13-1))*Supuestos!$D$153</f>
        <v>-2.60299806873595</v>
      </c>
      <c r="T33" s="62" t="n">
        <f aca="false">-Energia!$D$20*(1-(1-Supuestos!$D$146)^(14-1))*Supuestos!$D$153</f>
        <v>-2.81292956923485</v>
      </c>
      <c r="U33" s="62" t="n">
        <f aca="false">-Energia!$D$20*(1-(1-Supuestos!$D$146)^(15-1))*Supuestos!$D$153</f>
        <v>-3.02181141223126</v>
      </c>
      <c r="V33" s="62" t="n">
        <f aca="false">-Energia!$D$20*(1-(1-Supuestos!$D$146)^(16-1))*Supuestos!$D$153</f>
        <v>-3.22964884601269</v>
      </c>
      <c r="W33" s="62" t="n">
        <f aca="false">-Energia!$D$20*(1-(1-Supuestos!$D$146)^(17-1))*Supuestos!$D$153</f>
        <v>-3.43644709262521</v>
      </c>
      <c r="X33" s="62" t="n">
        <f aca="false">-Energia!$D$20*(1-(1-Supuestos!$D$146)^(18-1))*Supuestos!$D$153</f>
        <v>-3.64221134800466</v>
      </c>
      <c r="Y33" s="62" t="n">
        <f aca="false">-Energia!$D$20*(1-(1-Supuestos!$D$146)^(19-1))*Supuestos!$D$153</f>
        <v>-3.84694678210722</v>
      </c>
      <c r="Z33" s="62" t="n">
        <f aca="false">-Energia!$D$20*(1-(1-Supuestos!$D$146)^(20-1))*Supuestos!$D$153</f>
        <v>-4.05065853903927</v>
      </c>
      <c r="AA33" s="62" t="n">
        <f aca="false">-Energia!$D$20*(1-(1-Supuestos!$D$146)^(21-1))*Supuestos!$D$153</f>
        <v>-4.25335173718665</v>
      </c>
      <c r="AB33" s="62" t="n">
        <f aca="false">-Energia!$D$20*(1-(1-Supuestos!$D$146)^(22-1))*Supuestos!$D$153</f>
        <v>-4.4550314693433</v>
      </c>
      <c r="AC33" s="62" t="n">
        <f aca="false">-Energia!$D$20*(1-(1-Supuestos!$D$146)^(23-1))*Supuestos!$D$153</f>
        <v>-4.65570280283916</v>
      </c>
      <c r="AD33" s="62" t="n">
        <f aca="false">-Energia!$D$20*(1-(1-Supuestos!$D$146)^(24-1))*Supuestos!$D$153</f>
        <v>-4.85537077966755</v>
      </c>
      <c r="AE33" s="62" t="n">
        <f aca="false">-Energia!$D$20*(1-(1-Supuestos!$D$146)^(25-1))*Supuestos!$D$153</f>
        <v>-5.05404041661179</v>
      </c>
      <c r="AF33" s="62" t="n">
        <f aca="false">-Energia!$D$20*(1-(1-Supuestos!$D$146)^(26-1))*Supuestos!$D$153</f>
        <v>-5.25171670537132</v>
      </c>
      <c r="AG33" s="62" t="n">
        <f aca="false">-Energia!$D$20*(1-(1-Supuestos!$D$146)^(27-1))*Supuestos!$D$153</f>
        <v>-5.44840461268704</v>
      </c>
      <c r="AH33" s="62" t="n">
        <f aca="false">-Energia!$D$20*(1-(1-Supuestos!$D$146)^(28-1))*Supuestos!$D$153</f>
        <v>-5.64410908046619</v>
      </c>
      <c r="AI33" s="62" t="n">
        <f aca="false">-Energia!$D$20*(1-(1-Supuestos!$D$146)^(29-1))*Supuestos!$D$153</f>
        <v>-5.83883502590644</v>
      </c>
      <c r="AJ33" s="62" t="n">
        <f aca="false">-Energia!$D$20*(1-(1-Supuestos!$D$146)^(30-1))*Supuestos!$D$153</f>
        <v>-6.03258734161949</v>
      </c>
    </row>
    <row r="34" customFormat="false" ht="15" hidden="false" customHeight="false" outlineLevel="0" collapsed="false">
      <c r="A34" s="14" t="s">
        <v>621</v>
      </c>
      <c r="B34" s="2"/>
      <c r="C34" s="63" t="n">
        <f aca="false">C31+C32+C33</f>
        <v>0</v>
      </c>
      <c r="D34" s="63" t="n">
        <f aca="false">D31+D32+D33</f>
        <v>0</v>
      </c>
      <c r="E34" s="63" t="n">
        <f aca="false">E31+E32+E33</f>
        <v>0</v>
      </c>
      <c r="F34" s="63" t="n">
        <f aca="false">F31+F32+F33</f>
        <v>0</v>
      </c>
      <c r="G34" s="63" t="n">
        <f aca="false">G31+G32+G33</f>
        <v>2078.37529794447</v>
      </c>
      <c r="H34" s="63" t="n">
        <f aca="false">H31+H32+H33</f>
        <v>2524.79609987641</v>
      </c>
      <c r="I34" s="63" t="n">
        <f aca="false">I31+I32+I33</f>
        <v>2747.89614232941</v>
      </c>
      <c r="J34" s="63" t="n">
        <f aca="false">J31+J32+J33</f>
        <v>2747.67541972981</v>
      </c>
      <c r="K34" s="63" t="n">
        <f aca="false">K31+K32+K33</f>
        <v>2747.45580074321</v>
      </c>
      <c r="L34" s="63" t="n">
        <f aca="false">L31+L32+L33</f>
        <v>2747.23727985155</v>
      </c>
      <c r="M34" s="63" t="n">
        <f aca="false">M31+M32+M33</f>
        <v>2747.01985156434</v>
      </c>
      <c r="N34" s="63" t="n">
        <f aca="false">N31+N32+N33</f>
        <v>2746.80351041857</v>
      </c>
      <c r="O34" s="63" t="n">
        <f aca="false">O31+O32+O33</f>
        <v>2746.58825097853</v>
      </c>
      <c r="P34" s="63" t="n">
        <f aca="false">P31+P32+P33</f>
        <v>2746.37406783569</v>
      </c>
      <c r="Q34" s="63" t="n">
        <f aca="false">Q31+Q32+Q33</f>
        <v>2746.16095560856</v>
      </c>
      <c r="R34" s="63" t="n">
        <f aca="false">R31+R32+R33</f>
        <v>2745.94890894257</v>
      </c>
      <c r="S34" s="63" t="n">
        <f aca="false">S31+S32+S33</f>
        <v>2745.7379225099</v>
      </c>
      <c r="T34" s="63" t="n">
        <f aca="false">T31+T32+T33</f>
        <v>2745.52799100941</v>
      </c>
      <c r="U34" s="63" t="n">
        <f aca="false">U31+U32+U33</f>
        <v>2745.31910916641</v>
      </c>
      <c r="V34" s="63" t="n">
        <f aca="false">V31+V32+V33</f>
        <v>2745.11127173263</v>
      </c>
      <c r="W34" s="63" t="n">
        <f aca="false">W31+W32+W33</f>
        <v>2744.90447348602</v>
      </c>
      <c r="X34" s="63" t="n">
        <f aca="false">X31+X32+X33</f>
        <v>2744.69870923064</v>
      </c>
      <c r="Y34" s="63" t="n">
        <f aca="false">Y31+Y32+Y33</f>
        <v>2744.49397379653</v>
      </c>
      <c r="Z34" s="63" t="n">
        <f aca="false">Z31+Z32+Z33</f>
        <v>2744.2902620396</v>
      </c>
      <c r="AA34" s="63" t="n">
        <f aca="false">AA31+AA32+AA33</f>
        <v>2744.08756884145</v>
      </c>
      <c r="AB34" s="63" t="n">
        <f aca="false">AB31+AB32+AB33</f>
        <v>2743.8858891093</v>
      </c>
      <c r="AC34" s="63" t="n">
        <f aca="false">AC31+AC32+AC33</f>
        <v>2743.6852177758</v>
      </c>
      <c r="AD34" s="63" t="n">
        <f aca="false">AD31+AD32+AD33</f>
        <v>2743.48554979897</v>
      </c>
      <c r="AE34" s="63" t="n">
        <f aca="false">AE31+AE32+AE33</f>
        <v>2743.28688016203</v>
      </c>
      <c r="AF34" s="63" t="n">
        <f aca="false">AF31+AF32+AF33</f>
        <v>2743.08920387327</v>
      </c>
      <c r="AG34" s="63" t="n">
        <f aca="false">AG31+AG32+AG33</f>
        <v>2742.89251596595</v>
      </c>
      <c r="AH34" s="63" t="n">
        <f aca="false">AH31+AH32+AH33</f>
        <v>2742.69681149817</v>
      </c>
      <c r="AI34" s="63" t="n">
        <f aca="false">AI31+AI32+AI33</f>
        <v>2742.50208555273</v>
      </c>
      <c r="AJ34" s="63" t="n">
        <f aca="false">AJ31+AJ32+AJ33</f>
        <v>2742.30833323702</v>
      </c>
    </row>
    <row r="35" customFormat="false" ht="15" hidden="false" customHeight="false" outlineLevel="0" collapsed="false">
      <c r="A35" s="6" t="s">
        <v>622</v>
      </c>
      <c r="B35" s="2"/>
      <c r="C35" s="62" t="n">
        <v>0</v>
      </c>
      <c r="D35" s="62" t="n">
        <v>0</v>
      </c>
      <c r="E35" s="62" t="n">
        <v>0</v>
      </c>
      <c r="F35" s="62" t="n">
        <v>0</v>
      </c>
      <c r="G35" s="62" t="n">
        <f aca="false">IF(1&lt;=1/Supuestos!$D$22,(Supuestos!$D$8)*Supuestos!$D$22,0)</f>
        <v>2662.25</v>
      </c>
      <c r="H35" s="62" t="n">
        <f aca="false">IF(2&lt;=1/Supuestos!$D$22,(Supuestos!$D$8)*Supuestos!$D$22,0)</f>
        <v>2662.25</v>
      </c>
      <c r="I35" s="62" t="n">
        <f aca="false">IF(3&lt;=1/Supuestos!$D$22,(Supuestos!$D$8)*Supuestos!$D$22,0)</f>
        <v>2662.25</v>
      </c>
      <c r="J35" s="62" t="n">
        <f aca="false">IF(4&lt;=1/Supuestos!$D$22,(Supuestos!$D$8)*Supuestos!$D$22,0)</f>
        <v>2662.25</v>
      </c>
      <c r="K35" s="62" t="n">
        <f aca="false">IF(5&lt;=1/Supuestos!$D$22,(Supuestos!$D$8)*Supuestos!$D$22,0)</f>
        <v>2662.25</v>
      </c>
      <c r="L35" s="62" t="n">
        <f aca="false">IF(6&lt;=1/Supuestos!$D$22,(Supuestos!$D$8)*Supuestos!$D$22,0)</f>
        <v>2662.25</v>
      </c>
      <c r="M35" s="62" t="n">
        <f aca="false">IF(7&lt;=1/Supuestos!$D$22,(Supuestos!$D$8)*Supuestos!$D$22,0)</f>
        <v>2662.25</v>
      </c>
      <c r="N35" s="62" t="n">
        <f aca="false">IF(8&lt;=1/Supuestos!$D$22,(Supuestos!$D$8)*Supuestos!$D$22,0)</f>
        <v>2662.25</v>
      </c>
      <c r="O35" s="62" t="n">
        <f aca="false">IF(9&lt;=1/Supuestos!$D$22,(Supuestos!$D$8)*Supuestos!$D$22,0)</f>
        <v>2662.25</v>
      </c>
      <c r="P35" s="62" t="n">
        <f aca="false">IF(10&lt;=1/Supuestos!$D$22,(Supuestos!$D$8)*Supuestos!$D$22,0)</f>
        <v>2662.25</v>
      </c>
      <c r="Q35" s="62" t="n">
        <f aca="false">IF(11&lt;=1/Supuestos!$D$22,(Supuestos!$D$8)*Supuestos!$D$22,0)</f>
        <v>2662.25</v>
      </c>
      <c r="R35" s="62" t="n">
        <f aca="false">IF(12&lt;=1/Supuestos!$D$22,(Supuestos!$D$8)*Supuestos!$D$22,0)</f>
        <v>2662.25</v>
      </c>
      <c r="S35" s="62" t="n">
        <f aca="false">IF(13&lt;=1/Supuestos!$D$22,(Supuestos!$D$8)*Supuestos!$D$22,0)</f>
        <v>2662.25</v>
      </c>
      <c r="T35" s="62" t="n">
        <f aca="false">IF(14&lt;=1/Supuestos!$D$22,(Supuestos!$D$8)*Supuestos!$D$22,0)</f>
        <v>2662.25</v>
      </c>
      <c r="U35" s="62" t="n">
        <f aca="false">IF(15&lt;=1/Supuestos!$D$22,(Supuestos!$D$8)*Supuestos!$D$22,0)</f>
        <v>2662.25</v>
      </c>
      <c r="V35" s="62" t="n">
        <f aca="false">IF(16&lt;=1/Supuestos!$D$22,(Supuestos!$D$8)*Supuestos!$D$22,0)</f>
        <v>2662.25</v>
      </c>
      <c r="W35" s="62" t="n">
        <f aca="false">IF(17&lt;=1/Supuestos!$D$22,(Supuestos!$D$8)*Supuestos!$D$22,0)</f>
        <v>2662.25</v>
      </c>
      <c r="X35" s="62" t="n">
        <f aca="false">IF(18&lt;=1/Supuestos!$D$22,(Supuestos!$D$8)*Supuestos!$D$22,0)</f>
        <v>2662.25</v>
      </c>
      <c r="Y35" s="62" t="n">
        <f aca="false">IF(19&lt;=1/Supuestos!$D$22,(Supuestos!$D$8)*Supuestos!$D$22,0)</f>
        <v>2662.25</v>
      </c>
      <c r="Z35" s="62" t="n">
        <f aca="false">IF(20&lt;=1/Supuestos!$D$22,(Supuestos!$D$8)*Supuestos!$D$22,0)</f>
        <v>2662.25</v>
      </c>
      <c r="AA35" s="62" t="n">
        <f aca="false">IF(21&lt;=1/Supuestos!$D$22,(Supuestos!$D$8)*Supuestos!$D$22,0)</f>
        <v>0</v>
      </c>
      <c r="AB35" s="62" t="n">
        <f aca="false">IF(22&lt;=1/Supuestos!$D$22,(Supuestos!$D$8)*Supuestos!$D$22,0)</f>
        <v>0</v>
      </c>
      <c r="AC35" s="62" t="n">
        <f aca="false">IF(23&lt;=1/Supuestos!$D$22,(Supuestos!$D$8)*Supuestos!$D$22,0)</f>
        <v>0</v>
      </c>
      <c r="AD35" s="62" t="n">
        <f aca="false">IF(24&lt;=1/Supuestos!$D$22,(Supuestos!$D$8)*Supuestos!$D$22,0)</f>
        <v>0</v>
      </c>
      <c r="AE35" s="62" t="n">
        <f aca="false">IF(25&lt;=1/Supuestos!$D$22,(Supuestos!$D$8)*Supuestos!$D$22,0)</f>
        <v>0</v>
      </c>
      <c r="AF35" s="62" t="n">
        <f aca="false">IF(26&lt;=1/Supuestos!$D$22,(Supuestos!$D$8)*Supuestos!$D$22,0)</f>
        <v>0</v>
      </c>
      <c r="AG35" s="62" t="n">
        <f aca="false">IF(27&lt;=1/Supuestos!$D$22,(Supuestos!$D$8)*Supuestos!$D$22,0)</f>
        <v>0</v>
      </c>
      <c r="AH35" s="62" t="n">
        <f aca="false">IF(28&lt;=1/Supuestos!$D$22,(Supuestos!$D$8)*Supuestos!$D$22,0)</f>
        <v>0</v>
      </c>
      <c r="AI35" s="62" t="n">
        <f aca="false">IF(29&lt;=1/Supuestos!$D$22,(Supuestos!$D$8)*Supuestos!$D$22,0)</f>
        <v>0</v>
      </c>
      <c r="AJ35" s="62" t="n">
        <f aca="false">IF(30&lt;=1/Supuestos!$D$22,(Supuestos!$D$8)*Supuestos!$D$22,0)</f>
        <v>0</v>
      </c>
    </row>
    <row r="36" customFormat="false" ht="15" hidden="false" customHeight="false" outlineLevel="0" collapsed="false">
      <c r="A36" s="6" t="s">
        <v>157</v>
      </c>
      <c r="B36" s="2"/>
      <c r="C36" s="62" t="n">
        <f aca="false">-MAX(0,C34-C35)*Supuestos!$D$21</f>
        <v>-0</v>
      </c>
      <c r="D36" s="62" t="n">
        <f aca="false">-MAX(0,D34-D35)*Supuestos!$D$21</f>
        <v>-0</v>
      </c>
      <c r="E36" s="62" t="n">
        <f aca="false">-MAX(0,E34-E35)*Supuestos!$D$21</f>
        <v>-0</v>
      </c>
      <c r="F36" s="62" t="n">
        <f aca="false">-MAX(0,F34-F35)*Supuestos!$D$21</f>
        <v>-0</v>
      </c>
      <c r="G36" s="62" t="n">
        <f aca="false">-MAX(0,G34-G35)*Supuestos!$D$21</f>
        <v>-0</v>
      </c>
      <c r="H36" s="62" t="n">
        <f aca="false">-MAX(0,H34-H35)*Supuestos!$D$21</f>
        <v>-0</v>
      </c>
      <c r="I36" s="62" t="n">
        <f aca="false">-MAX(0,I34-I35)*Supuestos!$D$21</f>
        <v>-25.6938426988227</v>
      </c>
      <c r="J36" s="62" t="n">
        <f aca="false">-MAX(0,J34-J35)*Supuestos!$D$21</f>
        <v>-25.6276259189438</v>
      </c>
      <c r="K36" s="62" t="n">
        <f aca="false">-MAX(0,K34-K35)*Supuestos!$D$21</f>
        <v>-25.5617402229643</v>
      </c>
      <c r="L36" s="62" t="n">
        <f aca="false">-MAX(0,L34-L35)*Supuestos!$D$21</f>
        <v>-25.4961839554647</v>
      </c>
      <c r="M36" s="62" t="n">
        <f aca="false">-MAX(0,M34-M35)*Supuestos!$D$21</f>
        <v>-25.4309554693026</v>
      </c>
      <c r="N36" s="62" t="n">
        <f aca="false">-MAX(0,N34-N35)*Supuestos!$D$21</f>
        <v>-25.3660531255712</v>
      </c>
      <c r="O36" s="62" t="n">
        <f aca="false">-MAX(0,O34-O35)*Supuestos!$D$21</f>
        <v>-25.3014752935585</v>
      </c>
      <c r="P36" s="62" t="n">
        <f aca="false">-MAX(0,P34-P35)*Supuestos!$D$21</f>
        <v>-25.2372203507059</v>
      </c>
      <c r="Q36" s="62" t="n">
        <f aca="false">-MAX(0,Q34-Q35)*Supuestos!$D$21</f>
        <v>-25.1732866825676</v>
      </c>
      <c r="R36" s="62" t="n">
        <f aca="false">-MAX(0,R34-R35)*Supuestos!$D$21</f>
        <v>-25.10967268277</v>
      </c>
      <c r="S36" s="62" t="n">
        <f aca="false">-MAX(0,S34-S35)*Supuestos!$D$21</f>
        <v>-25.0463767529713</v>
      </c>
      <c r="T36" s="62" t="n">
        <f aca="false">-MAX(0,T34-T35)*Supuestos!$D$21</f>
        <v>-24.9833973028216</v>
      </c>
      <c r="U36" s="62" t="n">
        <f aca="false">-MAX(0,U34-U35)*Supuestos!$D$21</f>
        <v>-24.9207327499227</v>
      </c>
      <c r="V36" s="62" t="n">
        <f aca="false">-MAX(0,V34-V35)*Supuestos!$D$21</f>
        <v>-24.8583815197882</v>
      </c>
      <c r="W36" s="62" t="n">
        <f aca="false">-MAX(0,W34-W35)*Supuestos!$D$21</f>
        <v>-24.7963420458045</v>
      </c>
      <c r="X36" s="62" t="n">
        <f aca="false">-MAX(0,X34-X35)*Supuestos!$D$21</f>
        <v>-24.7346127691906</v>
      </c>
      <c r="Y36" s="62" t="n">
        <f aca="false">-MAX(0,Y34-Y35)*Supuestos!$D$21</f>
        <v>-24.6731921389599</v>
      </c>
      <c r="Z36" s="62" t="n">
        <f aca="false">-MAX(0,Z34-Z35)*Supuestos!$D$21</f>
        <v>-24.6120786118802</v>
      </c>
      <c r="AA36" s="62" t="n">
        <f aca="false">-MAX(0,AA34-AA35)*Supuestos!$D$21</f>
        <v>-823.226270652436</v>
      </c>
      <c r="AB36" s="62" t="n">
        <f aca="false">-MAX(0,AB34-AB35)*Supuestos!$D$21</f>
        <v>-823.165766732789</v>
      </c>
      <c r="AC36" s="62" t="n">
        <f aca="false">-MAX(0,AC34-AC35)*Supuestos!$D$21</f>
        <v>-823.10556533274</v>
      </c>
      <c r="AD36" s="62" t="n">
        <f aca="false">-MAX(0,AD34-AD35)*Supuestos!$D$21</f>
        <v>-823.045664939692</v>
      </c>
      <c r="AE36" s="62" t="n">
        <f aca="false">-MAX(0,AE34-AE35)*Supuestos!$D$21</f>
        <v>-822.986064048609</v>
      </c>
      <c r="AF36" s="62" t="n">
        <f aca="false">-MAX(0,AF34-AF35)*Supuestos!$D$21</f>
        <v>-822.926761161981</v>
      </c>
      <c r="AG36" s="62" t="n">
        <f aca="false">-MAX(0,AG34-AG35)*Supuestos!$D$21</f>
        <v>-822.867754789786</v>
      </c>
      <c r="AH36" s="62" t="n">
        <f aca="false">-MAX(0,AH34-AH35)*Supuestos!$D$21</f>
        <v>-822.809043449452</v>
      </c>
      <c r="AI36" s="62" t="n">
        <f aca="false">-MAX(0,AI34-AI35)*Supuestos!$D$21</f>
        <v>-822.75062566582</v>
      </c>
      <c r="AJ36" s="62" t="n">
        <f aca="false">-MAX(0,AJ34-AJ35)*Supuestos!$D$21</f>
        <v>-822.692499971106</v>
      </c>
    </row>
    <row r="37" customFormat="false" ht="15" hidden="false" customHeight="false" outlineLevel="0" collapsed="false">
      <c r="A37" s="6" t="s">
        <v>623</v>
      </c>
      <c r="B37" s="2"/>
      <c r="C37" s="62" t="n">
        <f aca="false">C30+C34</f>
        <v>-10709</v>
      </c>
      <c r="D37" s="62" t="n">
        <f aca="false">D30+D34</f>
        <v>-16063.5</v>
      </c>
      <c r="E37" s="62" t="n">
        <f aca="false">E30+E34</f>
        <v>-16063.5</v>
      </c>
      <c r="F37" s="62" t="n">
        <f aca="false">F30+F34</f>
        <v>-10709</v>
      </c>
      <c r="G37" s="62" t="n">
        <f aca="false">G30+G34</f>
        <v>2078.37529794447</v>
      </c>
      <c r="H37" s="62" t="n">
        <f aca="false">H30+H34</f>
        <v>2524.79609987641</v>
      </c>
      <c r="I37" s="62" t="n">
        <f aca="false">I30+I34</f>
        <v>2747.89614232941</v>
      </c>
      <c r="J37" s="62" t="n">
        <f aca="false">J30+J34</f>
        <v>2747.67541972981</v>
      </c>
      <c r="K37" s="62" t="n">
        <f aca="false">K30+K34</f>
        <v>2747.45580074321</v>
      </c>
      <c r="L37" s="62" t="n">
        <f aca="false">L30+L34</f>
        <v>2747.23727985155</v>
      </c>
      <c r="M37" s="62" t="n">
        <f aca="false">M30+M34</f>
        <v>2747.01985156434</v>
      </c>
      <c r="N37" s="62" t="n">
        <f aca="false">N30+N34</f>
        <v>2746.80351041857</v>
      </c>
      <c r="O37" s="62" t="n">
        <f aca="false">O30+O34</f>
        <v>2746.58825097853</v>
      </c>
      <c r="P37" s="62" t="n">
        <f aca="false">P30+P34</f>
        <v>2746.37406783569</v>
      </c>
      <c r="Q37" s="62" t="n">
        <f aca="false">Q30+Q34</f>
        <v>2746.16095560856</v>
      </c>
      <c r="R37" s="62" t="n">
        <f aca="false">R30+R34</f>
        <v>2745.94890894257</v>
      </c>
      <c r="S37" s="62" t="n">
        <f aca="false">S30+S34</f>
        <v>2745.7379225099</v>
      </c>
      <c r="T37" s="62" t="n">
        <f aca="false">T30+T34</f>
        <v>2745.52799100941</v>
      </c>
      <c r="U37" s="62" t="n">
        <f aca="false">U30+U34</f>
        <v>2745.31910916641</v>
      </c>
      <c r="V37" s="62" t="n">
        <f aca="false">V30+V34</f>
        <v>2745.11127173263</v>
      </c>
      <c r="W37" s="62" t="n">
        <f aca="false">W30+W34</f>
        <v>2744.90447348602</v>
      </c>
      <c r="X37" s="62" t="n">
        <f aca="false">X30+X34</f>
        <v>2744.69870923064</v>
      </c>
      <c r="Y37" s="62" t="n">
        <f aca="false">Y30+Y34</f>
        <v>2744.49397379653</v>
      </c>
      <c r="Z37" s="62" t="n">
        <f aca="false">Z30+Z34</f>
        <v>2744.2902620396</v>
      </c>
      <c r="AA37" s="62" t="n">
        <f aca="false">AA30+AA34</f>
        <v>2744.08756884145</v>
      </c>
      <c r="AB37" s="62" t="n">
        <f aca="false">AB30+AB34</f>
        <v>2743.8858891093</v>
      </c>
      <c r="AC37" s="62" t="n">
        <f aca="false">AC30+AC34</f>
        <v>2743.6852177758</v>
      </c>
      <c r="AD37" s="62" t="n">
        <f aca="false">AD30+AD34</f>
        <v>2743.48554979897</v>
      </c>
      <c r="AE37" s="62" t="n">
        <f aca="false">AE30+AE34</f>
        <v>2743.28688016203</v>
      </c>
      <c r="AF37" s="62" t="n">
        <f aca="false">AF30+AF34</f>
        <v>2743.08920387327</v>
      </c>
      <c r="AG37" s="62" t="n">
        <f aca="false">AG30+AG34</f>
        <v>2742.89251596595</v>
      </c>
      <c r="AH37" s="62" t="n">
        <f aca="false">AH30+AH34</f>
        <v>2742.69681149817</v>
      </c>
      <c r="AI37" s="62" t="n">
        <f aca="false">AI30+AI34</f>
        <v>2742.50208555273</v>
      </c>
      <c r="AJ37" s="62" t="n">
        <f aca="false">AJ30+AJ34</f>
        <v>2742.30833323702</v>
      </c>
    </row>
    <row r="38" customFormat="false" ht="15" hidden="false" customHeight="false" outlineLevel="0" collapsed="false">
      <c r="A38" s="14" t="s">
        <v>624</v>
      </c>
      <c r="B38" s="2"/>
      <c r="C38" s="63" t="n">
        <f aca="false">C37+C36</f>
        <v>-10709</v>
      </c>
      <c r="D38" s="63" t="n">
        <f aca="false">D37+D36</f>
        <v>-16063.5</v>
      </c>
      <c r="E38" s="63" t="n">
        <f aca="false">E37+E36</f>
        <v>-16063.5</v>
      </c>
      <c r="F38" s="63" t="n">
        <f aca="false">F37+F36</f>
        <v>-10709</v>
      </c>
      <c r="G38" s="63" t="n">
        <f aca="false">G37+G36</f>
        <v>2078.37529794447</v>
      </c>
      <c r="H38" s="63" t="n">
        <f aca="false">H37+H36</f>
        <v>2524.79609987641</v>
      </c>
      <c r="I38" s="63" t="n">
        <f aca="false">I37+I36</f>
        <v>2722.20229963059</v>
      </c>
      <c r="J38" s="63" t="n">
        <f aca="false">J37+J36</f>
        <v>2722.04779381087</v>
      </c>
      <c r="K38" s="63" t="n">
        <f aca="false">K37+K36</f>
        <v>2721.89406052025</v>
      </c>
      <c r="L38" s="63" t="n">
        <f aca="false">L37+L36</f>
        <v>2721.74109589608</v>
      </c>
      <c r="M38" s="63" t="n">
        <f aca="false">M37+M36</f>
        <v>2721.58889609504</v>
      </c>
      <c r="N38" s="63" t="n">
        <f aca="false">N37+N36</f>
        <v>2721.437457293</v>
      </c>
      <c r="O38" s="63" t="n">
        <f aca="false">O37+O36</f>
        <v>2721.28677568497</v>
      </c>
      <c r="P38" s="63" t="n">
        <f aca="false">P37+P36</f>
        <v>2721.13684748498</v>
      </c>
      <c r="Q38" s="63" t="n">
        <f aca="false">Q37+Q36</f>
        <v>2720.98766892599</v>
      </c>
      <c r="R38" s="63" t="n">
        <f aca="false">R37+R36</f>
        <v>2720.8392362598</v>
      </c>
      <c r="S38" s="63" t="n">
        <f aca="false">S37+S36</f>
        <v>2720.69154575693</v>
      </c>
      <c r="T38" s="63" t="n">
        <f aca="false">T37+T36</f>
        <v>2720.54459370658</v>
      </c>
      <c r="U38" s="63" t="n">
        <f aca="false">U37+U36</f>
        <v>2720.39837641649</v>
      </c>
      <c r="V38" s="63" t="n">
        <f aca="false">V37+V36</f>
        <v>2720.25289021284</v>
      </c>
      <c r="W38" s="63" t="n">
        <f aca="false">W37+W36</f>
        <v>2720.10813144021</v>
      </c>
      <c r="X38" s="63" t="n">
        <f aca="false">X37+X36</f>
        <v>2719.96409646144</v>
      </c>
      <c r="Y38" s="63" t="n">
        <f aca="false">Y37+Y36</f>
        <v>2719.82078165757</v>
      </c>
      <c r="Z38" s="63" t="n">
        <f aca="false">Z37+Z36</f>
        <v>2719.67818342772</v>
      </c>
      <c r="AA38" s="63" t="n">
        <f aca="false">AA37+AA36</f>
        <v>1920.86129818902</v>
      </c>
      <c r="AB38" s="63" t="n">
        <f aca="false">AB37+AB36</f>
        <v>1920.72012237651</v>
      </c>
      <c r="AC38" s="63" t="n">
        <f aca="false">AC37+AC36</f>
        <v>1920.57965244306</v>
      </c>
      <c r="AD38" s="63" t="n">
        <f aca="false">AD37+AD36</f>
        <v>1920.43988485928</v>
      </c>
      <c r="AE38" s="63" t="n">
        <f aca="false">AE37+AE36</f>
        <v>1920.30081611342</v>
      </c>
      <c r="AF38" s="63" t="n">
        <f aca="false">AF37+AF36</f>
        <v>1920.16244271129</v>
      </c>
      <c r="AG38" s="63" t="n">
        <f aca="false">AG37+AG36</f>
        <v>1920.02476117617</v>
      </c>
      <c r="AH38" s="63" t="n">
        <f aca="false">AH37+AH36</f>
        <v>1919.88776804872</v>
      </c>
      <c r="AI38" s="63" t="n">
        <f aca="false">AI37+AI36</f>
        <v>1919.75145988691</v>
      </c>
      <c r="AJ38" s="63" t="n">
        <f aca="false">AJ37+AJ36</f>
        <v>1919.61583326591</v>
      </c>
    </row>
    <row r="39" customFormat="false" ht="15" hidden="false" customHeight="false" outlineLevel="0" collapsed="false">
      <c r="A39" s="14" t="s">
        <v>625</v>
      </c>
      <c r="B39" s="2"/>
      <c r="C39" s="63" t="n">
        <f aca="false">C38</f>
        <v>-10709</v>
      </c>
      <c r="D39" s="63" t="n">
        <f aca="false">C39+D38</f>
        <v>-26772.5</v>
      </c>
      <c r="E39" s="63" t="n">
        <f aca="false">D39+E38</f>
        <v>-42836</v>
      </c>
      <c r="F39" s="63" t="n">
        <f aca="false">E39+F38</f>
        <v>-53545</v>
      </c>
      <c r="G39" s="63" t="n">
        <f aca="false">F39+G38</f>
        <v>-51466.6247020555</v>
      </c>
      <c r="H39" s="63" t="n">
        <f aca="false">G39+H38</f>
        <v>-48941.8286021791</v>
      </c>
      <c r="I39" s="63" t="n">
        <f aca="false">H39+I38</f>
        <v>-46219.6263025485</v>
      </c>
      <c r="J39" s="63" t="n">
        <f aca="false">I39+J38</f>
        <v>-43497.5785087377</v>
      </c>
      <c r="K39" s="63" t="n">
        <f aca="false">J39+K38</f>
        <v>-40775.6844482174</v>
      </c>
      <c r="L39" s="63" t="n">
        <f aca="false">K39+L38</f>
        <v>-38053.9433523213</v>
      </c>
      <c r="M39" s="63" t="n">
        <f aca="false">L39+M38</f>
        <v>-35332.3544562263</v>
      </c>
      <c r="N39" s="63" t="n">
        <f aca="false">M39+N38</f>
        <v>-32610.9169989333</v>
      </c>
      <c r="O39" s="63" t="n">
        <f aca="false">N39+O38</f>
        <v>-29889.6302232483</v>
      </c>
      <c r="P39" s="63" t="n">
        <f aca="false">O39+P38</f>
        <v>-27168.4933757633</v>
      </c>
      <c r="Q39" s="63" t="n">
        <f aca="false">P39+Q38</f>
        <v>-24447.5057068373</v>
      </c>
      <c r="R39" s="63" t="n">
        <f aca="false">Q39+R38</f>
        <v>-21726.6664705775</v>
      </c>
      <c r="S39" s="63" t="n">
        <f aca="false">R39+S38</f>
        <v>-19005.9749248206</v>
      </c>
      <c r="T39" s="63" t="n">
        <f aca="false">S39+T38</f>
        <v>-16285.430331114</v>
      </c>
      <c r="U39" s="63" t="n">
        <f aca="false">T39+U38</f>
        <v>-13565.0319546975</v>
      </c>
      <c r="V39" s="63" t="n">
        <f aca="false">U39+V38</f>
        <v>-10844.7790644847</v>
      </c>
      <c r="W39" s="63" t="n">
        <f aca="false">V39+W38</f>
        <v>-8124.67093304449</v>
      </c>
      <c r="X39" s="63" t="n">
        <f aca="false">W39+X38</f>
        <v>-5404.70683658305</v>
      </c>
      <c r="Y39" s="63" t="n">
        <f aca="false">X39+Y38</f>
        <v>-2684.88605492548</v>
      </c>
      <c r="Z39" s="63" t="n">
        <f aca="false">Y39+Z38</f>
        <v>34.7921285022444</v>
      </c>
      <c r="AA39" s="63" t="n">
        <f aca="false">Z39+AA38</f>
        <v>1955.65342669126</v>
      </c>
      <c r="AB39" s="63" t="n">
        <f aca="false">AA39+AB38</f>
        <v>3876.37354906777</v>
      </c>
      <c r="AC39" s="63" t="n">
        <f aca="false">AB39+AC38</f>
        <v>5796.95320151083</v>
      </c>
      <c r="AD39" s="63" t="n">
        <f aca="false">AC39+AD38</f>
        <v>7717.39308637011</v>
      </c>
      <c r="AE39" s="63" t="n">
        <f aca="false">AD39+AE38</f>
        <v>9637.69390248353</v>
      </c>
      <c r="AF39" s="63" t="n">
        <f aca="false">AE39+AF38</f>
        <v>11557.8563451948</v>
      </c>
      <c r="AG39" s="63" t="n">
        <f aca="false">AF39+AG38</f>
        <v>13477.881106371</v>
      </c>
      <c r="AH39" s="63" t="n">
        <f aca="false">AG39+AH38</f>
        <v>15397.7688744197</v>
      </c>
      <c r="AI39" s="63" t="n">
        <f aca="false">AH39+AI38</f>
        <v>17317.5203343066</v>
      </c>
      <c r="AJ39" s="63" t="n">
        <f aca="false">AI39+AJ38</f>
        <v>19237.1361675725</v>
      </c>
    </row>
    <row r="40" customFormat="false" ht="15" hidden="false" customHeight="false" outlineLevel="0" collapsed="false">
      <c r="A40" s="6" t="s">
        <v>626</v>
      </c>
      <c r="B40" s="2"/>
      <c r="C40" s="62" t="n">
        <f aca="false">C38/(1+Supuestos!$D$20)^0</f>
        <v>-10709</v>
      </c>
      <c r="D40" s="62" t="n">
        <f aca="false">D38/(1+Supuestos!$D$20)^1</f>
        <v>-14873.6111111111</v>
      </c>
      <c r="E40" s="62" t="n">
        <f aca="false">E38/(1+Supuestos!$D$20)^2</f>
        <v>-13771.8621399177</v>
      </c>
      <c r="F40" s="62" t="n">
        <f aca="false">F38/(1+Supuestos!$D$20)^3</f>
        <v>-8501.149469085</v>
      </c>
      <c r="G40" s="62" t="n">
        <f aca="false">G38/(1+Supuestos!$D$20)^4</f>
        <v>1527.66788930391</v>
      </c>
      <c r="H40" s="62" t="n">
        <f aca="false">H38/(1+Supuestos!$D$20)^5</f>
        <v>1718.33380151224</v>
      </c>
      <c r="I40" s="62" t="n">
        <f aca="false">I38/(1+Supuestos!$D$20)^6</f>
        <v>1715.44920745854</v>
      </c>
      <c r="J40" s="62" t="n">
        <f aca="false">J38/(1+Supuestos!$D$20)^7</f>
        <v>1588.28874313312</v>
      </c>
      <c r="K40" s="62" t="n">
        <f aca="false">K38/(1+Supuestos!$D$20)^8</f>
        <v>1470.55466780983</v>
      </c>
      <c r="L40" s="62" t="n">
        <f aca="false">L38/(1+Supuestos!$D$20)^9</f>
        <v>1361.54817202126</v>
      </c>
      <c r="M40" s="62" t="n">
        <f aca="false">M38/(1+Supuestos!$D$20)^10</f>
        <v>1260.62225391481</v>
      </c>
      <c r="N40" s="62" t="n">
        <f aca="false">N38/(1+Supuestos!$D$20)^11</f>
        <v>1167.17787819246</v>
      </c>
      <c r="O40" s="62" t="n">
        <f aca="false">O38/(1+Supuestos!$D$20)^12</f>
        <v>1080.66041984589</v>
      </c>
      <c r="P40" s="62" t="n">
        <f aca="false">P38/(1+Supuestos!$D$20)^13</f>
        <v>1000.55637156932</v>
      </c>
      <c r="Q40" s="62" t="n">
        <f aca="false">Q38/(1+Supuestos!$D$20)^14</f>
        <v>926.390295298863</v>
      </c>
      <c r="R40" s="62" t="n">
        <f aca="false">R38/(1+Supuestos!$D$20)^15</f>
        <v>857.721999776628</v>
      </c>
      <c r="S40" s="62" t="n">
        <f aca="false">S38/(1+Supuestos!$D$20)^16</f>
        <v>794.143927380276</v>
      </c>
      <c r="T40" s="62" t="n">
        <f aca="false">T38/(1+Supuestos!$D$20)^17</f>
        <v>735.278734701473</v>
      </c>
      <c r="U40" s="62" t="n">
        <f aca="false">U38/(1+Supuestos!$D$20)^18</f>
        <v>680.777052507217</v>
      </c>
      <c r="V40" s="62" t="n">
        <f aca="false">V38/(1+Supuestos!$D$20)^19</f>
        <v>630.315411783338</v>
      </c>
      <c r="W40" s="62" t="n">
        <f aca="false">W38/(1+Supuestos!$D$20)^20</f>
        <v>583.594323545695</v>
      </c>
      <c r="X40" s="62" t="n">
        <f aca="false">X38/(1+Supuestos!$D$20)^21</f>
        <v>540.336501017775</v>
      </c>
      <c r="Y40" s="62" t="n">
        <f aca="false">Y38/(1+Supuestos!$D$20)^22</f>
        <v>500.285213618769</v>
      </c>
      <c r="Z40" s="62" t="n">
        <f aca="false">Z38/(1+Supuestos!$D$20)^23</f>
        <v>463.202762988951</v>
      </c>
      <c r="AA40" s="62" t="n">
        <f aca="false">AA38/(1+Supuestos!$D$20)^24</f>
        <v>302.918553781048</v>
      </c>
      <c r="AB40" s="62" t="n">
        <f aca="false">AB38/(1+Supuestos!$D$20)^25</f>
        <v>280.459528193492</v>
      </c>
      <c r="AC40" s="62" t="n">
        <f aca="false">AC38/(1+Supuestos!$D$20)^26</f>
        <v>259.665756544544</v>
      </c>
      <c r="AD40" s="62" t="n">
        <f aca="false">AD38/(1+Supuestos!$D$20)^27</f>
        <v>240.413759000642</v>
      </c>
      <c r="AE40" s="62" t="n">
        <f aca="false">AE38/(1+Supuestos!$D$20)^28</f>
        <v>222.589212432238</v>
      </c>
      <c r="AF40" s="62" t="n">
        <f aca="false">AF38/(1+Supuestos!$D$20)^29</f>
        <v>206.086271348475</v>
      </c>
      <c r="AG40" s="62" t="n">
        <f aca="false">AG38/(1+Supuestos!$D$20)^30</f>
        <v>190.806939195257</v>
      </c>
      <c r="AH40" s="62" t="n">
        <f aca="false">AH38/(1+Supuestos!$D$20)^31</f>
        <v>176.660486281179</v>
      </c>
      <c r="AI40" s="62" t="n">
        <f aca="false">AI38/(1+Supuestos!$D$20)^32</f>
        <v>163.562910872898</v>
      </c>
      <c r="AJ40" s="62" t="n">
        <f aca="false">AJ38/(1+Supuestos!$D$20)^33</f>
        <v>151.436440258036</v>
      </c>
    </row>
    <row r="41" customFormat="false" ht="15" hidden="false" customHeight="false" outlineLevel="0" collapsed="false">
      <c r="A41" s="6" t="s">
        <v>627</v>
      </c>
      <c r="B41" s="2"/>
      <c r="C41" s="62" t="n">
        <f aca="false">C40</f>
        <v>-10709</v>
      </c>
      <c r="D41" s="62" t="n">
        <f aca="false">C41+D40</f>
        <v>-25582.6111111111</v>
      </c>
      <c r="E41" s="62" t="n">
        <f aca="false">D41+E40</f>
        <v>-39354.4732510288</v>
      </c>
      <c r="F41" s="62" t="n">
        <f aca="false">E41+F40</f>
        <v>-47855.6227201138</v>
      </c>
      <c r="G41" s="62" t="n">
        <f aca="false">F41+G40</f>
        <v>-46327.9548308099</v>
      </c>
      <c r="H41" s="62" t="n">
        <f aca="false">G41+H40</f>
        <v>-44609.6210292977</v>
      </c>
      <c r="I41" s="62" t="n">
        <f aca="false">H41+I40</f>
        <v>-42894.1718218391</v>
      </c>
      <c r="J41" s="62" t="n">
        <f aca="false">I41+J40</f>
        <v>-41305.883078706</v>
      </c>
      <c r="K41" s="62" t="n">
        <f aca="false">J41+K40</f>
        <v>-39835.3284108962</v>
      </c>
      <c r="L41" s="62" t="n">
        <f aca="false">K41+L40</f>
        <v>-38473.7802388749</v>
      </c>
      <c r="M41" s="62" t="n">
        <f aca="false">L41+M40</f>
        <v>-37213.1579849601</v>
      </c>
      <c r="N41" s="62" t="n">
        <f aca="false">M41+N40</f>
        <v>-36045.9801067676</v>
      </c>
      <c r="O41" s="62" t="n">
        <f aca="false">N41+O40</f>
        <v>-34965.3196869217</v>
      </c>
      <c r="P41" s="62" t="n">
        <f aca="false">O41+P40</f>
        <v>-33964.7633153524</v>
      </c>
      <c r="Q41" s="62" t="n">
        <f aca="false">P41+Q40</f>
        <v>-33038.3730200536</v>
      </c>
      <c r="R41" s="62" t="n">
        <f aca="false">Q41+R40</f>
        <v>-32180.6510202769</v>
      </c>
      <c r="S41" s="62" t="n">
        <f aca="false">R41+S40</f>
        <v>-31386.5070928967</v>
      </c>
      <c r="T41" s="62" t="n">
        <f aca="false">S41+T40</f>
        <v>-30651.2283581952</v>
      </c>
      <c r="U41" s="62" t="n">
        <f aca="false">T41+U40</f>
        <v>-29970.451305688</v>
      </c>
      <c r="V41" s="62" t="n">
        <f aca="false">U41+V40</f>
        <v>-29340.1358939046</v>
      </c>
      <c r="W41" s="62" t="n">
        <f aca="false">V41+W40</f>
        <v>-28756.5415703589</v>
      </c>
      <c r="X41" s="62" t="n">
        <f aca="false">W41+X40</f>
        <v>-28216.2050693412</v>
      </c>
      <c r="Y41" s="62" t="n">
        <f aca="false">X41+Y40</f>
        <v>-27715.9198557224</v>
      </c>
      <c r="Z41" s="62" t="n">
        <f aca="false">Y41+Z40</f>
        <v>-27252.7170927334</v>
      </c>
      <c r="AA41" s="62" t="n">
        <f aca="false">Z41+AA40</f>
        <v>-26949.7985389524</v>
      </c>
      <c r="AB41" s="62" t="n">
        <f aca="false">AA41+AB40</f>
        <v>-26669.3390107589</v>
      </c>
      <c r="AC41" s="62" t="n">
        <f aca="false">AB41+AC40</f>
        <v>-26409.6732542144</v>
      </c>
      <c r="AD41" s="62" t="n">
        <f aca="false">AC41+AD40</f>
        <v>-26169.2594952137</v>
      </c>
      <c r="AE41" s="62" t="n">
        <f aca="false">AD41+AE40</f>
        <v>-25946.6702827815</v>
      </c>
      <c r="AF41" s="62" t="n">
        <f aca="false">AE41+AF40</f>
        <v>-25740.584011433</v>
      </c>
      <c r="AG41" s="62" t="n">
        <f aca="false">AF41+AG40</f>
        <v>-25549.7770722377</v>
      </c>
      <c r="AH41" s="62" t="n">
        <f aca="false">AG41+AH40</f>
        <v>-25373.1165859566</v>
      </c>
      <c r="AI41" s="62" t="n">
        <f aca="false">AH41+AI40</f>
        <v>-25209.5536750837</v>
      </c>
      <c r="AJ41" s="62" t="n">
        <f aca="false">AI41+AJ40</f>
        <v>-25058.1172348256</v>
      </c>
    </row>
    <row r="42" customFormat="false" ht="15" hidden="false" customHeight="false" outlineLevel="0" collapsed="false">
      <c r="A42" s="14" t="s">
        <v>30</v>
      </c>
      <c r="B42" s="26" t="n">
        <f aca="false">SUM(C40:AJ40)</f>
        <v>-25058.1172348256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customFormat="false" ht="15" hidden="false" customHeight="false" outlineLevel="0" collapsed="false">
      <c r="A43" s="14" t="s">
        <v>28</v>
      </c>
      <c r="B43" s="64" t="n">
        <f aca="false">IFERROR(IRR(C37:AJ37,0.02),IFERROR(IRR(C37:AJ37,-0.05),"negativa"))</f>
        <v>0.0262132526000795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customFormat="false" ht="15" hidden="false" customHeight="false" outlineLevel="0" collapsed="false">
      <c r="A44" s="14" t="s">
        <v>29</v>
      </c>
      <c r="B44" s="64" t="n">
        <f aca="false">IFERROR(IRR(C38:AJ38,0.02),IFERROR(IRR(C38:AJ38,-0.05),"negativa"))</f>
        <v>0.0201390503100861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 customFormat="false" ht="15" hidden="false" customHeight="false" outlineLevel="0" collapsed="false">
      <c r="A45" s="14" t="s">
        <v>628</v>
      </c>
      <c r="B45" s="65" t="n">
        <f aca="false">IF(COUNTIF(G39:AJ39,"&lt;0")&gt;=30,"más de 30",COUNTIF(G39:AJ39,"&lt;0")+1)</f>
        <v>20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customFormat="false" ht="15" hidden="false" customHeight="false" outlineLevel="0" collapsed="false">
      <c r="A46" s="14" t="s">
        <v>629</v>
      </c>
      <c r="B46" s="65" t="str">
        <f aca="false">IF(COUNTIF(G41:AJ41,"&lt;0")&gt;=30,"más de 30",COUNTIF(G41:AJ41,"&lt;0")+1)</f>
        <v>más de 30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customFormat="false" ht="15" hidden="false" customHeight="false" outlineLevel="0" collapsed="false">
      <c r="A47" s="14" t="s">
        <v>630</v>
      </c>
      <c r="B47" s="26" t="n">
        <f aca="false">AJ39</f>
        <v>19237.1361675725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customFormat="false" ht="15" hidden="false" customHeight="false" outlineLevel="0" collapsed="false">
      <c r="A50" s="57" t="s">
        <v>632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</row>
    <row r="51" customFormat="false" ht="15" hidden="false" customHeight="false" outlineLevel="0" collapsed="false">
      <c r="A51" s="6" t="s">
        <v>582</v>
      </c>
      <c r="B51" s="2"/>
      <c r="C51" s="59" t="s">
        <v>583</v>
      </c>
      <c r="D51" s="59" t="s">
        <v>584</v>
      </c>
      <c r="E51" s="59" t="s">
        <v>585</v>
      </c>
      <c r="F51" s="59" t="s">
        <v>586</v>
      </c>
      <c r="G51" s="59" t="s">
        <v>587</v>
      </c>
      <c r="H51" s="59" t="s">
        <v>588</v>
      </c>
      <c r="I51" s="59" t="s">
        <v>589</v>
      </c>
      <c r="J51" s="59" t="s">
        <v>590</v>
      </c>
      <c r="K51" s="59" t="s">
        <v>591</v>
      </c>
      <c r="L51" s="59" t="s">
        <v>592</v>
      </c>
      <c r="M51" s="59" t="s">
        <v>593</v>
      </c>
      <c r="N51" s="59" t="s">
        <v>594</v>
      </c>
      <c r="O51" s="59" t="s">
        <v>595</v>
      </c>
      <c r="P51" s="59" t="s">
        <v>596</v>
      </c>
      <c r="Q51" s="59" t="s">
        <v>597</v>
      </c>
      <c r="R51" s="59" t="s">
        <v>598</v>
      </c>
      <c r="S51" s="59" t="s">
        <v>599</v>
      </c>
      <c r="T51" s="59" t="s">
        <v>600</v>
      </c>
      <c r="U51" s="59" t="s">
        <v>601</v>
      </c>
      <c r="V51" s="59" t="s">
        <v>602</v>
      </c>
      <c r="W51" s="59" t="s">
        <v>603</v>
      </c>
      <c r="X51" s="59" t="s">
        <v>604</v>
      </c>
      <c r="Y51" s="59" t="s">
        <v>605</v>
      </c>
      <c r="Z51" s="59" t="s">
        <v>606</v>
      </c>
      <c r="AA51" s="59" t="s">
        <v>607</v>
      </c>
      <c r="AB51" s="59" t="s">
        <v>608</v>
      </c>
      <c r="AC51" s="59" t="s">
        <v>609</v>
      </c>
      <c r="AD51" s="59" t="s">
        <v>610</v>
      </c>
      <c r="AE51" s="59" t="s">
        <v>611</v>
      </c>
      <c r="AF51" s="59" t="s">
        <v>612</v>
      </c>
      <c r="AG51" s="59" t="s">
        <v>613</v>
      </c>
      <c r="AH51" s="59" t="s">
        <v>614</v>
      </c>
      <c r="AI51" s="59" t="s">
        <v>615</v>
      </c>
      <c r="AJ51" s="59" t="s">
        <v>616</v>
      </c>
    </row>
    <row r="52" customFormat="false" ht="15" hidden="false" customHeight="false" outlineLevel="0" collapsed="false">
      <c r="A52" s="6" t="s">
        <v>617</v>
      </c>
      <c r="B52" s="2"/>
      <c r="C52" s="60" t="n">
        <f aca="false">Supuestos!$E$14</f>
        <v>0.2</v>
      </c>
      <c r="D52" s="60" t="n">
        <f aca="false">Supuestos!$E$15</f>
        <v>0.3</v>
      </c>
      <c r="E52" s="60" t="n">
        <f aca="false">Supuestos!$E$16</f>
        <v>0.3</v>
      </c>
      <c r="F52" s="60" t="n">
        <f aca="false">Supuestos!$E$17</f>
        <v>0.2</v>
      </c>
      <c r="G52" s="60" t="n">
        <f aca="false">Supuestos!$E$18</f>
        <v>0.9</v>
      </c>
      <c r="H52" s="60" t="n">
        <f aca="false">Supuestos!$E$19</f>
        <v>1</v>
      </c>
      <c r="I52" s="61" t="n">
        <v>1</v>
      </c>
      <c r="J52" s="61" t="n">
        <v>1</v>
      </c>
      <c r="K52" s="61" t="n">
        <v>1</v>
      </c>
      <c r="L52" s="61" t="n">
        <v>1</v>
      </c>
      <c r="M52" s="61" t="n">
        <v>1</v>
      </c>
      <c r="N52" s="61" t="n">
        <v>1</v>
      </c>
      <c r="O52" s="61" t="n">
        <v>1</v>
      </c>
      <c r="P52" s="61" t="n">
        <v>1</v>
      </c>
      <c r="Q52" s="61" t="n">
        <v>1</v>
      </c>
      <c r="R52" s="61" t="n">
        <v>1</v>
      </c>
      <c r="S52" s="61" t="n">
        <v>1</v>
      </c>
      <c r="T52" s="61" t="n">
        <v>1</v>
      </c>
      <c r="U52" s="61" t="n">
        <v>1</v>
      </c>
      <c r="V52" s="61" t="n">
        <v>1</v>
      </c>
      <c r="W52" s="61" t="n">
        <v>1</v>
      </c>
      <c r="X52" s="61" t="n">
        <v>1</v>
      </c>
      <c r="Y52" s="61" t="n">
        <v>1</v>
      </c>
      <c r="Z52" s="61" t="n">
        <v>1</v>
      </c>
      <c r="AA52" s="61" t="n">
        <v>1</v>
      </c>
      <c r="AB52" s="61" t="n">
        <v>1</v>
      </c>
      <c r="AC52" s="61" t="n">
        <v>1</v>
      </c>
      <c r="AD52" s="61" t="n">
        <v>1</v>
      </c>
      <c r="AE52" s="61" t="n">
        <v>1</v>
      </c>
      <c r="AF52" s="61" t="n">
        <v>1</v>
      </c>
      <c r="AG52" s="61" t="n">
        <v>1</v>
      </c>
      <c r="AH52" s="61" t="n">
        <v>1</v>
      </c>
      <c r="AI52" s="61" t="n">
        <v>1</v>
      </c>
      <c r="AJ52" s="61" t="n">
        <v>1</v>
      </c>
    </row>
    <row r="53" customFormat="false" ht="15" hidden="false" customHeight="false" outlineLevel="0" collapsed="false">
      <c r="A53" s="6" t="s">
        <v>618</v>
      </c>
      <c r="B53" s="2"/>
      <c r="C53" s="62" t="n">
        <f aca="false">-(Supuestos!$E$8+Supuestos!$E$13)*C52</f>
        <v>-10699</v>
      </c>
      <c r="D53" s="62" t="n">
        <f aca="false">-(Supuestos!$E$8+Supuestos!$E$13)*D52</f>
        <v>-16048.5</v>
      </c>
      <c r="E53" s="62" t="n">
        <f aca="false">-(Supuestos!$E$8+Supuestos!$E$13)*E52</f>
        <v>-16048.5</v>
      </c>
      <c r="F53" s="62" t="n">
        <f aca="false">-(Supuestos!$E$8+Supuestos!$E$13)*F52</f>
        <v>-10699</v>
      </c>
      <c r="G53" s="62" t="n">
        <v>0</v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2" t="n">
        <v>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2" t="n">
        <v>0</v>
      </c>
      <c r="AD53" s="62" t="n">
        <v>0</v>
      </c>
      <c r="AE53" s="62" t="n">
        <v>0</v>
      </c>
      <c r="AF53" s="62" t="n">
        <v>0</v>
      </c>
      <c r="AG53" s="62" t="n">
        <v>0</v>
      </c>
      <c r="AH53" s="62" t="n">
        <v>0</v>
      </c>
      <c r="AI53" s="62" t="n">
        <v>0</v>
      </c>
      <c r="AJ53" s="62" t="n">
        <v>0</v>
      </c>
    </row>
    <row r="54" customFormat="false" ht="15" hidden="false" customHeight="false" outlineLevel="0" collapsed="false">
      <c r="A54" s="6" t="s">
        <v>619</v>
      </c>
      <c r="B54" s="2"/>
      <c r="C54" s="62" t="n">
        <v>0</v>
      </c>
      <c r="D54" s="62" t="n">
        <v>0</v>
      </c>
      <c r="E54" s="62" t="n">
        <v>0</v>
      </c>
      <c r="F54" s="62" t="n">
        <v>0</v>
      </c>
      <c r="G54" s="62" t="n">
        <f aca="false">Ingresos!$E$68*G52</f>
        <v>6749.55529954462</v>
      </c>
      <c r="H54" s="62" t="n">
        <f aca="false">Ingresos!$E$68*H52</f>
        <v>7499.50588838291</v>
      </c>
      <c r="I54" s="62" t="n">
        <f aca="false">Ingresos!$E$68*I52</f>
        <v>7499.50588838291</v>
      </c>
      <c r="J54" s="62" t="n">
        <f aca="false">Ingresos!$E$68*J52</f>
        <v>7499.50588838291</v>
      </c>
      <c r="K54" s="62" t="n">
        <f aca="false">Ingresos!$E$68*K52</f>
        <v>7499.50588838291</v>
      </c>
      <c r="L54" s="62" t="n">
        <f aca="false">Ingresos!$E$68*L52</f>
        <v>7499.50588838291</v>
      </c>
      <c r="M54" s="62" t="n">
        <f aca="false">Ingresos!$E$68*M52</f>
        <v>7499.50588838291</v>
      </c>
      <c r="N54" s="62" t="n">
        <f aca="false">Ingresos!$E$68*N52</f>
        <v>7499.50588838291</v>
      </c>
      <c r="O54" s="62" t="n">
        <f aca="false">Ingresos!$E$68*O52</f>
        <v>7499.50588838291</v>
      </c>
      <c r="P54" s="62" t="n">
        <f aca="false">Ingresos!$E$68*P52</f>
        <v>7499.50588838291</v>
      </c>
      <c r="Q54" s="62" t="n">
        <f aca="false">Ingresos!$E$68*Q52</f>
        <v>7499.50588838291</v>
      </c>
      <c r="R54" s="62" t="n">
        <f aca="false">Ingresos!$E$68*R52</f>
        <v>7499.50588838291</v>
      </c>
      <c r="S54" s="62" t="n">
        <f aca="false">Ingresos!$E$68*S52</f>
        <v>7499.50588838291</v>
      </c>
      <c r="T54" s="62" t="n">
        <f aca="false">Ingresos!$E$68*T52</f>
        <v>7499.50588838291</v>
      </c>
      <c r="U54" s="62" t="n">
        <f aca="false">Ingresos!$E$68*U52</f>
        <v>7499.50588838291</v>
      </c>
      <c r="V54" s="62" t="n">
        <f aca="false">Ingresos!$E$68*V52</f>
        <v>7499.50588838291</v>
      </c>
      <c r="W54" s="62" t="n">
        <f aca="false">Ingresos!$E$68*W52</f>
        <v>7499.50588838291</v>
      </c>
      <c r="X54" s="62" t="n">
        <f aca="false">Ingresos!$E$68*X52</f>
        <v>7499.50588838291</v>
      </c>
      <c r="Y54" s="62" t="n">
        <f aca="false">Ingresos!$E$68*Y52</f>
        <v>7499.50588838291</v>
      </c>
      <c r="Z54" s="62" t="n">
        <f aca="false">Ingresos!$E$68*Z52</f>
        <v>7499.50588838291</v>
      </c>
      <c r="AA54" s="62" t="n">
        <f aca="false">Ingresos!$E$68*AA52</f>
        <v>7499.50588838291</v>
      </c>
      <c r="AB54" s="62" t="n">
        <f aca="false">Ingresos!$E$68*AB52</f>
        <v>7499.50588838291</v>
      </c>
      <c r="AC54" s="62" t="n">
        <f aca="false">Ingresos!$E$68*AC52</f>
        <v>7499.50588838291</v>
      </c>
      <c r="AD54" s="62" t="n">
        <f aca="false">Ingresos!$E$68*AD52</f>
        <v>7499.50588838291</v>
      </c>
      <c r="AE54" s="62" t="n">
        <f aca="false">Ingresos!$E$68*AE52</f>
        <v>7499.50588838291</v>
      </c>
      <c r="AF54" s="62" t="n">
        <f aca="false">Ingresos!$E$68*AF52</f>
        <v>7499.50588838291</v>
      </c>
      <c r="AG54" s="62" t="n">
        <f aca="false">Ingresos!$E$68*AG52</f>
        <v>7499.50588838291</v>
      </c>
      <c r="AH54" s="62" t="n">
        <f aca="false">Ingresos!$E$68*AH52</f>
        <v>7499.50588838291</v>
      </c>
      <c r="AI54" s="62" t="n">
        <f aca="false">Ingresos!$E$68*AI52</f>
        <v>7499.50588838291</v>
      </c>
      <c r="AJ54" s="62" t="n">
        <f aca="false">Ingresos!$E$68*AJ52</f>
        <v>7499.50588838291</v>
      </c>
    </row>
    <row r="55" customFormat="false" ht="15" hidden="false" customHeight="false" outlineLevel="0" collapsed="false">
      <c r="A55" s="6" t="s">
        <v>20</v>
      </c>
      <c r="B55" s="2"/>
      <c r="C55" s="62" t="n">
        <v>0</v>
      </c>
      <c r="D55" s="62" t="n">
        <v>0</v>
      </c>
      <c r="E55" s="62" t="n">
        <v>0</v>
      </c>
      <c r="F55" s="62" t="n">
        <v>0</v>
      </c>
      <c r="G55" s="62" t="n">
        <f aca="false">-Costos_Operacion!$E$42</f>
        <v>-1627.93509995273</v>
      </c>
      <c r="H55" s="62" t="n">
        <f aca="false">-Costos_Operacion!$E$42</f>
        <v>-1627.93509995273</v>
      </c>
      <c r="I55" s="62" t="n">
        <f aca="false">-Costos_Operacion!$E$42</f>
        <v>-1627.93509995273</v>
      </c>
      <c r="J55" s="62" t="n">
        <f aca="false">-Costos_Operacion!$E$42</f>
        <v>-1627.93509995273</v>
      </c>
      <c r="K55" s="62" t="n">
        <f aca="false">-Costos_Operacion!$E$42</f>
        <v>-1627.93509995273</v>
      </c>
      <c r="L55" s="62" t="n">
        <f aca="false">-Costos_Operacion!$E$42</f>
        <v>-1627.93509995273</v>
      </c>
      <c r="M55" s="62" t="n">
        <f aca="false">-Costos_Operacion!$E$42</f>
        <v>-1627.93509995273</v>
      </c>
      <c r="N55" s="62" t="n">
        <f aca="false">-Costos_Operacion!$E$42</f>
        <v>-1627.93509995273</v>
      </c>
      <c r="O55" s="62" t="n">
        <f aca="false">-Costos_Operacion!$E$42</f>
        <v>-1627.93509995273</v>
      </c>
      <c r="P55" s="62" t="n">
        <f aca="false">-Costos_Operacion!$E$42</f>
        <v>-1627.93509995273</v>
      </c>
      <c r="Q55" s="62" t="n">
        <f aca="false">-Costos_Operacion!$E$42</f>
        <v>-1627.93509995273</v>
      </c>
      <c r="R55" s="62" t="n">
        <f aca="false">-Costos_Operacion!$E$42</f>
        <v>-1627.93509995273</v>
      </c>
      <c r="S55" s="62" t="n">
        <f aca="false">-Costos_Operacion!$E$42</f>
        <v>-1627.93509995273</v>
      </c>
      <c r="T55" s="62" t="n">
        <f aca="false">-Costos_Operacion!$E$42</f>
        <v>-1627.93509995273</v>
      </c>
      <c r="U55" s="62" t="n">
        <f aca="false">-Costos_Operacion!$E$42</f>
        <v>-1627.93509995273</v>
      </c>
      <c r="V55" s="62" t="n">
        <f aca="false">-Costos_Operacion!$E$42</f>
        <v>-1627.93509995273</v>
      </c>
      <c r="W55" s="62" t="n">
        <f aca="false">-Costos_Operacion!$E$42</f>
        <v>-1627.93509995273</v>
      </c>
      <c r="X55" s="62" t="n">
        <f aca="false">-Costos_Operacion!$E$42</f>
        <v>-1627.93509995273</v>
      </c>
      <c r="Y55" s="62" t="n">
        <f aca="false">-Costos_Operacion!$E$42</f>
        <v>-1627.93509995273</v>
      </c>
      <c r="Z55" s="62" t="n">
        <f aca="false">-Costos_Operacion!$E$42</f>
        <v>-1627.93509995273</v>
      </c>
      <c r="AA55" s="62" t="n">
        <f aca="false">-Costos_Operacion!$E$42</f>
        <v>-1627.93509995273</v>
      </c>
      <c r="AB55" s="62" t="n">
        <f aca="false">-Costos_Operacion!$E$42</f>
        <v>-1627.93509995273</v>
      </c>
      <c r="AC55" s="62" t="n">
        <f aca="false">-Costos_Operacion!$E$42</f>
        <v>-1627.93509995273</v>
      </c>
      <c r="AD55" s="62" t="n">
        <f aca="false">-Costos_Operacion!$E$42</f>
        <v>-1627.93509995273</v>
      </c>
      <c r="AE55" s="62" t="n">
        <f aca="false">-Costos_Operacion!$E$42</f>
        <v>-1627.93509995273</v>
      </c>
      <c r="AF55" s="62" t="n">
        <f aca="false">-Costos_Operacion!$E$42</f>
        <v>-1627.93509995273</v>
      </c>
      <c r="AG55" s="62" t="n">
        <f aca="false">-Costos_Operacion!$E$42</f>
        <v>-1627.93509995273</v>
      </c>
      <c r="AH55" s="62" t="n">
        <f aca="false">-Costos_Operacion!$E$42</f>
        <v>-1627.93509995273</v>
      </c>
      <c r="AI55" s="62" t="n">
        <f aca="false">-Costos_Operacion!$E$42</f>
        <v>-1627.93509995273</v>
      </c>
      <c r="AJ55" s="62" t="n">
        <f aca="false">-Costos_Operacion!$E$42</f>
        <v>-1627.93509995273</v>
      </c>
    </row>
    <row r="56" customFormat="false" ht="15" hidden="false" customHeight="false" outlineLevel="0" collapsed="false">
      <c r="A56" s="6" t="s">
        <v>620</v>
      </c>
      <c r="B56" s="2"/>
      <c r="C56" s="62" t="n">
        <v>0</v>
      </c>
      <c r="D56" s="62" t="n">
        <v>0</v>
      </c>
      <c r="E56" s="62" t="n">
        <v>0</v>
      </c>
      <c r="F56" s="62" t="n">
        <v>0</v>
      </c>
      <c r="G56" s="62" t="n">
        <f aca="false">-Energia!$E$20*(1-(1-Supuestos!$E$146)^(1-1))*Supuestos!$E$153</f>
        <v>-0</v>
      </c>
      <c r="H56" s="62" t="n">
        <f aca="false">-Energia!$E$20*(1-(1-Supuestos!$E$146)^(2-1))*Supuestos!$E$153</f>
        <v>-0.235401813965876</v>
      </c>
      <c r="I56" s="62" t="n">
        <f aca="false">-Energia!$E$20*(1-(1-Supuestos!$E$146)^(3-1))*Supuestos!$E$153</f>
        <v>-0.469626618861921</v>
      </c>
      <c r="J56" s="62" t="n">
        <f aca="false">-Energia!$E$20*(1-(1-Supuestos!$E$146)^(4-1))*Supuestos!$E$153</f>
        <v>-0.702680299733489</v>
      </c>
      <c r="K56" s="62" t="n">
        <f aca="false">-Energia!$E$20*(1-(1-Supuestos!$E$146)^(5-1))*Supuestos!$E$153</f>
        <v>-0.934568712200701</v>
      </c>
      <c r="L56" s="62" t="n">
        <f aca="false">-Energia!$E$20*(1-(1-Supuestos!$E$146)^(6-1))*Supuestos!$E$153</f>
        <v>-1.16529768260557</v>
      </c>
      <c r="M56" s="62" t="n">
        <f aca="false">-Energia!$E$20*(1-(1-Supuestos!$E$146)^(7-1))*Supuestos!$E$153</f>
        <v>-1.39487300815842</v>
      </c>
      <c r="N56" s="62" t="n">
        <f aca="false">-Energia!$E$20*(1-(1-Supuestos!$E$146)^(8-1))*Supuestos!$E$153</f>
        <v>-1.62330045708351</v>
      </c>
      <c r="O56" s="62" t="n">
        <f aca="false">-Energia!$E$20*(1-(1-Supuestos!$E$146)^(9-1))*Supuestos!$E$153</f>
        <v>-1.85058576876396</v>
      </c>
      <c r="P56" s="62" t="n">
        <f aca="false">-Energia!$E$20*(1-(1-Supuestos!$E$146)^(10-1))*Supuestos!$E$153</f>
        <v>-2.07673465388602</v>
      </c>
      <c r="Q56" s="62" t="n">
        <f aca="false">-Energia!$E$20*(1-(1-Supuestos!$E$146)^(11-1))*Supuestos!$E$153</f>
        <v>-2.30175279458247</v>
      </c>
      <c r="R56" s="62" t="n">
        <f aca="false">-Energia!$E$20*(1-(1-Supuestos!$E$146)^(12-1))*Supuestos!$E$153</f>
        <v>-2.52564584457543</v>
      </c>
      <c r="S56" s="62" t="n">
        <f aca="false">-Energia!$E$20*(1-(1-Supuestos!$E$146)^(13-1))*Supuestos!$E$153</f>
        <v>-2.74841942931843</v>
      </c>
      <c r="T56" s="62" t="n">
        <f aca="false">-Energia!$E$20*(1-(1-Supuestos!$E$146)^(14-1))*Supuestos!$E$153</f>
        <v>-2.97007914613771</v>
      </c>
      <c r="U56" s="62" t="n">
        <f aca="false">-Energia!$E$20*(1-(1-Supuestos!$E$146)^(15-1))*Supuestos!$E$153</f>
        <v>-3.1906305643729</v>
      </c>
      <c r="V56" s="62" t="n">
        <f aca="false">-Energia!$E$20*(1-(1-Supuestos!$E$146)^(16-1))*Supuestos!$E$153</f>
        <v>-3.41007922551691</v>
      </c>
      <c r="W56" s="62" t="n">
        <f aca="false">-Energia!$E$20*(1-(1-Supuestos!$E$146)^(17-1))*Supuestos!$E$153</f>
        <v>-3.62843064335521</v>
      </c>
      <c r="X56" s="62" t="n">
        <f aca="false">-Energia!$E$20*(1-(1-Supuestos!$E$146)^(18-1))*Supuestos!$E$153</f>
        <v>-3.84569030410431</v>
      </c>
      <c r="Y56" s="62" t="n">
        <f aca="false">-Energia!$E$20*(1-(1-Supuestos!$E$146)^(19-1))*Supuestos!$E$153</f>
        <v>-4.06186366654966</v>
      </c>
      <c r="Z56" s="62" t="n">
        <f aca="false">-Energia!$E$20*(1-(1-Supuestos!$E$146)^(20-1))*Supuestos!$E$153</f>
        <v>-4.27695616218279</v>
      </c>
      <c r="AA56" s="62" t="n">
        <f aca="false">-Energia!$E$20*(1-(1-Supuestos!$E$146)^(21-1))*Supuestos!$E$153</f>
        <v>-4.49097319533775</v>
      </c>
      <c r="AB56" s="62" t="n">
        <f aca="false">-Energia!$E$20*(1-(1-Supuestos!$E$146)^(22-1))*Supuestos!$E$153</f>
        <v>-4.70392014332694</v>
      </c>
      <c r="AC56" s="62" t="n">
        <f aca="false">-Energia!$E$20*(1-(1-Supuestos!$E$146)^(23-1))*Supuestos!$E$153</f>
        <v>-4.91580235657618</v>
      </c>
      <c r="AD56" s="62" t="n">
        <f aca="false">-Energia!$E$20*(1-(1-Supuestos!$E$146)^(24-1))*Supuestos!$E$153</f>
        <v>-5.12662515875918</v>
      </c>
      <c r="AE56" s="62" t="n">
        <f aca="false">-Energia!$E$20*(1-(1-Supuestos!$E$146)^(25-1))*Supuestos!$E$153</f>
        <v>-5.33639384693126</v>
      </c>
      <c r="AF56" s="62" t="n">
        <f aca="false">-Energia!$E$20*(1-(1-Supuestos!$E$146)^(26-1))*Supuestos!$E$153</f>
        <v>-5.54511369166248</v>
      </c>
      <c r="AG56" s="62" t="n">
        <f aca="false">-Energia!$E$20*(1-(1-Supuestos!$E$146)^(27-1))*Supuestos!$E$153</f>
        <v>-5.75278993717004</v>
      </c>
      <c r="AH56" s="62" t="n">
        <f aca="false">-Energia!$E$20*(1-(1-Supuestos!$E$146)^(28-1))*Supuestos!$E$153</f>
        <v>-5.95942780145007</v>
      </c>
      <c r="AI56" s="62" t="n">
        <f aca="false">-Energia!$E$20*(1-(1-Supuestos!$E$146)^(29-1))*Supuestos!$E$153</f>
        <v>-6.16503247640869</v>
      </c>
      <c r="AJ56" s="62" t="n">
        <f aca="false">-Energia!$E$20*(1-(1-Supuestos!$E$146)^(30-1))*Supuestos!$E$153</f>
        <v>-6.36960912799253</v>
      </c>
    </row>
    <row r="57" customFormat="false" ht="15" hidden="false" customHeight="false" outlineLevel="0" collapsed="false">
      <c r="A57" s="14" t="s">
        <v>621</v>
      </c>
      <c r="B57" s="2"/>
      <c r="C57" s="63" t="n">
        <f aca="false">C54+C55+C56</f>
        <v>0</v>
      </c>
      <c r="D57" s="63" t="n">
        <f aca="false">D54+D55+D56</f>
        <v>0</v>
      </c>
      <c r="E57" s="63" t="n">
        <f aca="false">E54+E55+E56</f>
        <v>0</v>
      </c>
      <c r="F57" s="63" t="n">
        <f aca="false">F54+F55+F56</f>
        <v>0</v>
      </c>
      <c r="G57" s="63" t="n">
        <f aca="false">G54+G55+G56</f>
        <v>5121.62019959189</v>
      </c>
      <c r="H57" s="63" t="n">
        <f aca="false">H54+H55+H56</f>
        <v>5871.33538661621</v>
      </c>
      <c r="I57" s="63" t="n">
        <f aca="false">I54+I55+I56</f>
        <v>5871.10116181132</v>
      </c>
      <c r="J57" s="63" t="n">
        <f aca="false">J54+J55+J56</f>
        <v>5870.86810813045</v>
      </c>
      <c r="K57" s="63" t="n">
        <f aca="false">K54+K55+K56</f>
        <v>5870.63621971798</v>
      </c>
      <c r="L57" s="63" t="n">
        <f aca="false">L54+L55+L56</f>
        <v>5870.40549074757</v>
      </c>
      <c r="M57" s="63" t="n">
        <f aca="false">M54+M55+M56</f>
        <v>5870.17591542202</v>
      </c>
      <c r="N57" s="63" t="n">
        <f aca="false">N54+N55+N56</f>
        <v>5869.9474879731</v>
      </c>
      <c r="O57" s="63" t="n">
        <f aca="false">O54+O55+O56</f>
        <v>5869.72020266142</v>
      </c>
      <c r="P57" s="63" t="n">
        <f aca="false">P54+P55+P56</f>
        <v>5869.49405377629</v>
      </c>
      <c r="Q57" s="63" t="n">
        <f aca="false">Q54+Q55+Q56</f>
        <v>5869.2690356356</v>
      </c>
      <c r="R57" s="63" t="n">
        <f aca="false">R54+R55+R56</f>
        <v>5869.0451425856</v>
      </c>
      <c r="S57" s="63" t="n">
        <f aca="false">S54+S55+S56</f>
        <v>5868.82236900086</v>
      </c>
      <c r="T57" s="63" t="n">
        <f aca="false">T54+T55+T56</f>
        <v>5868.60070928404</v>
      </c>
      <c r="U57" s="63" t="n">
        <f aca="false">U54+U55+U56</f>
        <v>5868.38015786581</v>
      </c>
      <c r="V57" s="63" t="n">
        <f aca="false">V54+V55+V56</f>
        <v>5868.16070920466</v>
      </c>
      <c r="W57" s="63" t="n">
        <f aca="false">W54+W55+W56</f>
        <v>5867.94235778682</v>
      </c>
      <c r="X57" s="63" t="n">
        <f aca="false">X54+X55+X56</f>
        <v>5867.72509812608</v>
      </c>
      <c r="Y57" s="63" t="n">
        <f aca="false">Y54+Y55+Y56</f>
        <v>5867.50892476363</v>
      </c>
      <c r="Z57" s="63" t="n">
        <f aca="false">Z54+Z55+Z56</f>
        <v>5867.293832268</v>
      </c>
      <c r="AA57" s="63" t="n">
        <f aca="false">AA54+AA55+AA56</f>
        <v>5867.07981523484</v>
      </c>
      <c r="AB57" s="63" t="n">
        <f aca="false">AB54+AB55+AB56</f>
        <v>5866.86686828685</v>
      </c>
      <c r="AC57" s="63" t="n">
        <f aca="false">AC54+AC55+AC56</f>
        <v>5866.6549860736</v>
      </c>
      <c r="AD57" s="63" t="n">
        <f aca="false">AD54+AD55+AD56</f>
        <v>5866.44416327142</v>
      </c>
      <c r="AE57" s="63" t="n">
        <f aca="false">AE54+AE55+AE56</f>
        <v>5866.23439458325</v>
      </c>
      <c r="AF57" s="63" t="n">
        <f aca="false">AF54+AF55+AF56</f>
        <v>5866.02567473852</v>
      </c>
      <c r="AG57" s="63" t="n">
        <f aca="false">AG54+AG55+AG56</f>
        <v>5865.81799849301</v>
      </c>
      <c r="AH57" s="63" t="n">
        <f aca="false">AH54+AH55+AH56</f>
        <v>5865.61136062873</v>
      </c>
      <c r="AI57" s="63" t="n">
        <f aca="false">AI54+AI55+AI56</f>
        <v>5865.40575595377</v>
      </c>
      <c r="AJ57" s="63" t="n">
        <f aca="false">AJ54+AJ55+AJ56</f>
        <v>5865.20117930219</v>
      </c>
    </row>
    <row r="58" customFormat="false" ht="15" hidden="false" customHeight="false" outlineLevel="0" collapsed="false">
      <c r="A58" s="6" t="s">
        <v>622</v>
      </c>
      <c r="B58" s="2"/>
      <c r="C58" s="62" t="n">
        <v>0</v>
      </c>
      <c r="D58" s="62" t="n">
        <v>0</v>
      </c>
      <c r="E58" s="62" t="n">
        <v>0</v>
      </c>
      <c r="F58" s="62" t="n">
        <v>0</v>
      </c>
      <c r="G58" s="62" t="n">
        <f aca="false">IF(1&lt;=1/Supuestos!$E$22,(Supuestos!$E$8)*Supuestos!$E$22,0)</f>
        <v>2662.25</v>
      </c>
      <c r="H58" s="62" t="n">
        <f aca="false">IF(2&lt;=1/Supuestos!$E$22,(Supuestos!$E$8)*Supuestos!$E$22,0)</f>
        <v>2662.25</v>
      </c>
      <c r="I58" s="62" t="n">
        <f aca="false">IF(3&lt;=1/Supuestos!$E$22,(Supuestos!$E$8)*Supuestos!$E$22,0)</f>
        <v>2662.25</v>
      </c>
      <c r="J58" s="62" t="n">
        <f aca="false">IF(4&lt;=1/Supuestos!$E$22,(Supuestos!$E$8)*Supuestos!$E$22,0)</f>
        <v>2662.25</v>
      </c>
      <c r="K58" s="62" t="n">
        <f aca="false">IF(5&lt;=1/Supuestos!$E$22,(Supuestos!$E$8)*Supuestos!$E$22,0)</f>
        <v>2662.25</v>
      </c>
      <c r="L58" s="62" t="n">
        <f aca="false">IF(6&lt;=1/Supuestos!$E$22,(Supuestos!$E$8)*Supuestos!$E$22,0)</f>
        <v>2662.25</v>
      </c>
      <c r="M58" s="62" t="n">
        <f aca="false">IF(7&lt;=1/Supuestos!$E$22,(Supuestos!$E$8)*Supuestos!$E$22,0)</f>
        <v>2662.25</v>
      </c>
      <c r="N58" s="62" t="n">
        <f aca="false">IF(8&lt;=1/Supuestos!$E$22,(Supuestos!$E$8)*Supuestos!$E$22,0)</f>
        <v>2662.25</v>
      </c>
      <c r="O58" s="62" t="n">
        <f aca="false">IF(9&lt;=1/Supuestos!$E$22,(Supuestos!$E$8)*Supuestos!$E$22,0)</f>
        <v>2662.25</v>
      </c>
      <c r="P58" s="62" t="n">
        <f aca="false">IF(10&lt;=1/Supuestos!$E$22,(Supuestos!$E$8)*Supuestos!$E$22,0)</f>
        <v>2662.25</v>
      </c>
      <c r="Q58" s="62" t="n">
        <f aca="false">IF(11&lt;=1/Supuestos!$E$22,(Supuestos!$E$8)*Supuestos!$E$22,0)</f>
        <v>2662.25</v>
      </c>
      <c r="R58" s="62" t="n">
        <f aca="false">IF(12&lt;=1/Supuestos!$E$22,(Supuestos!$E$8)*Supuestos!$E$22,0)</f>
        <v>2662.25</v>
      </c>
      <c r="S58" s="62" t="n">
        <f aca="false">IF(13&lt;=1/Supuestos!$E$22,(Supuestos!$E$8)*Supuestos!$E$22,0)</f>
        <v>2662.25</v>
      </c>
      <c r="T58" s="62" t="n">
        <f aca="false">IF(14&lt;=1/Supuestos!$E$22,(Supuestos!$E$8)*Supuestos!$E$22,0)</f>
        <v>2662.25</v>
      </c>
      <c r="U58" s="62" t="n">
        <f aca="false">IF(15&lt;=1/Supuestos!$E$22,(Supuestos!$E$8)*Supuestos!$E$22,0)</f>
        <v>2662.25</v>
      </c>
      <c r="V58" s="62" t="n">
        <f aca="false">IF(16&lt;=1/Supuestos!$E$22,(Supuestos!$E$8)*Supuestos!$E$22,0)</f>
        <v>2662.25</v>
      </c>
      <c r="W58" s="62" t="n">
        <f aca="false">IF(17&lt;=1/Supuestos!$E$22,(Supuestos!$E$8)*Supuestos!$E$22,0)</f>
        <v>2662.25</v>
      </c>
      <c r="X58" s="62" t="n">
        <f aca="false">IF(18&lt;=1/Supuestos!$E$22,(Supuestos!$E$8)*Supuestos!$E$22,0)</f>
        <v>2662.25</v>
      </c>
      <c r="Y58" s="62" t="n">
        <f aca="false">IF(19&lt;=1/Supuestos!$E$22,(Supuestos!$E$8)*Supuestos!$E$22,0)</f>
        <v>2662.25</v>
      </c>
      <c r="Z58" s="62" t="n">
        <f aca="false">IF(20&lt;=1/Supuestos!$E$22,(Supuestos!$E$8)*Supuestos!$E$22,0)</f>
        <v>2662.25</v>
      </c>
      <c r="AA58" s="62" t="n">
        <f aca="false">IF(21&lt;=1/Supuestos!$E$22,(Supuestos!$E$8)*Supuestos!$E$22,0)</f>
        <v>0</v>
      </c>
      <c r="AB58" s="62" t="n">
        <f aca="false">IF(22&lt;=1/Supuestos!$E$22,(Supuestos!$E$8)*Supuestos!$E$22,0)</f>
        <v>0</v>
      </c>
      <c r="AC58" s="62" t="n">
        <f aca="false">IF(23&lt;=1/Supuestos!$E$22,(Supuestos!$E$8)*Supuestos!$E$22,0)</f>
        <v>0</v>
      </c>
      <c r="AD58" s="62" t="n">
        <f aca="false">IF(24&lt;=1/Supuestos!$E$22,(Supuestos!$E$8)*Supuestos!$E$22,0)</f>
        <v>0</v>
      </c>
      <c r="AE58" s="62" t="n">
        <f aca="false">IF(25&lt;=1/Supuestos!$E$22,(Supuestos!$E$8)*Supuestos!$E$22,0)</f>
        <v>0</v>
      </c>
      <c r="AF58" s="62" t="n">
        <f aca="false">IF(26&lt;=1/Supuestos!$E$22,(Supuestos!$E$8)*Supuestos!$E$22,0)</f>
        <v>0</v>
      </c>
      <c r="AG58" s="62" t="n">
        <f aca="false">IF(27&lt;=1/Supuestos!$E$22,(Supuestos!$E$8)*Supuestos!$E$22,0)</f>
        <v>0</v>
      </c>
      <c r="AH58" s="62" t="n">
        <f aca="false">IF(28&lt;=1/Supuestos!$E$22,(Supuestos!$E$8)*Supuestos!$E$22,0)</f>
        <v>0</v>
      </c>
      <c r="AI58" s="62" t="n">
        <f aca="false">IF(29&lt;=1/Supuestos!$E$22,(Supuestos!$E$8)*Supuestos!$E$22,0)</f>
        <v>0</v>
      </c>
      <c r="AJ58" s="62" t="n">
        <f aca="false">IF(30&lt;=1/Supuestos!$E$22,(Supuestos!$E$8)*Supuestos!$E$22,0)</f>
        <v>0</v>
      </c>
    </row>
    <row r="59" customFormat="false" ht="15" hidden="false" customHeight="false" outlineLevel="0" collapsed="false">
      <c r="A59" s="6" t="s">
        <v>157</v>
      </c>
      <c r="B59" s="2"/>
      <c r="C59" s="62" t="n">
        <f aca="false">-MAX(0,C57-C58)*Supuestos!$E$21</f>
        <v>-0</v>
      </c>
      <c r="D59" s="62" t="n">
        <f aca="false">-MAX(0,D57-D58)*Supuestos!$E$21</f>
        <v>-0</v>
      </c>
      <c r="E59" s="62" t="n">
        <f aca="false">-MAX(0,E57-E58)*Supuestos!$E$21</f>
        <v>-0</v>
      </c>
      <c r="F59" s="62" t="n">
        <f aca="false">-MAX(0,F57-F58)*Supuestos!$E$21</f>
        <v>-0</v>
      </c>
      <c r="G59" s="62" t="n">
        <f aca="false">-MAX(0,G57-G58)*Supuestos!$E$21</f>
        <v>-737.811059877566</v>
      </c>
      <c r="H59" s="62" t="n">
        <f aca="false">-MAX(0,H57-H58)*Supuestos!$E$21</f>
        <v>-962.725615984864</v>
      </c>
      <c r="I59" s="62" t="n">
        <f aca="false">-MAX(0,I57-I58)*Supuestos!$E$21</f>
        <v>-962.655348543395</v>
      </c>
      <c r="J59" s="62" t="n">
        <f aca="false">-MAX(0,J57-J58)*Supuestos!$E$21</f>
        <v>-962.585432439134</v>
      </c>
      <c r="K59" s="62" t="n">
        <f aca="false">-MAX(0,K57-K58)*Supuestos!$E$21</f>
        <v>-962.515865915394</v>
      </c>
      <c r="L59" s="62" t="n">
        <f aca="false">-MAX(0,L57-L58)*Supuestos!$E$21</f>
        <v>-962.446647224272</v>
      </c>
      <c r="M59" s="62" t="n">
        <f aca="false">-MAX(0,M57-M58)*Supuestos!$E$21</f>
        <v>-962.377774626606</v>
      </c>
      <c r="N59" s="62" t="n">
        <f aca="false">-MAX(0,N57-N58)*Supuestos!$E$21</f>
        <v>-962.309246391929</v>
      </c>
      <c r="O59" s="62" t="n">
        <f aca="false">-MAX(0,O57-O58)*Supuestos!$E$21</f>
        <v>-962.241060798424</v>
      </c>
      <c r="P59" s="62" t="n">
        <f aca="false">-MAX(0,P57-P58)*Supuestos!$E$21</f>
        <v>-962.173216132888</v>
      </c>
      <c r="Q59" s="62" t="n">
        <f aca="false">-MAX(0,Q57-Q58)*Supuestos!$E$21</f>
        <v>-962.105710690679</v>
      </c>
      <c r="R59" s="62" t="n">
        <f aca="false">-MAX(0,R57-R58)*Supuestos!$E$21</f>
        <v>-962.038542775681</v>
      </c>
      <c r="S59" s="62" t="n">
        <f aca="false">-MAX(0,S57-S58)*Supuestos!$E$21</f>
        <v>-961.971710700258</v>
      </c>
      <c r="T59" s="62" t="n">
        <f aca="false">-MAX(0,T57-T58)*Supuestos!$E$21</f>
        <v>-961.905212785213</v>
      </c>
      <c r="U59" s="62" t="n">
        <f aca="false">-MAX(0,U57-U58)*Supuestos!$E$21</f>
        <v>-961.839047359742</v>
      </c>
      <c r="V59" s="62" t="n">
        <f aca="false">-MAX(0,V57-V58)*Supuestos!$E$21</f>
        <v>-961.773212761399</v>
      </c>
      <c r="W59" s="62" t="n">
        <f aca="false">-MAX(0,W57-W58)*Supuestos!$E$21</f>
        <v>-961.707707336047</v>
      </c>
      <c r="X59" s="62" t="n">
        <f aca="false">-MAX(0,X57-X58)*Supuestos!$E$21</f>
        <v>-961.642529437822</v>
      </c>
      <c r="Y59" s="62" t="n">
        <f aca="false">-MAX(0,Y57-Y58)*Supuestos!$E$21</f>
        <v>-961.577677429089</v>
      </c>
      <c r="Z59" s="62" t="n">
        <f aca="false">-MAX(0,Z57-Z58)*Supuestos!$E$21</f>
        <v>-961.513149680399</v>
      </c>
      <c r="AA59" s="62" t="n">
        <f aca="false">-MAX(0,AA57-AA58)*Supuestos!$E$21</f>
        <v>-1760.12394457045</v>
      </c>
      <c r="AB59" s="62" t="n">
        <f aca="false">-MAX(0,AB57-AB58)*Supuestos!$E$21</f>
        <v>-1760.06006048606</v>
      </c>
      <c r="AC59" s="62" t="n">
        <f aca="false">-MAX(0,AC57-AC58)*Supuestos!$E$21</f>
        <v>-1759.99649582208</v>
      </c>
      <c r="AD59" s="62" t="n">
        <f aca="false">-MAX(0,AD57-AD58)*Supuestos!$E$21</f>
        <v>-1759.93324898143</v>
      </c>
      <c r="AE59" s="62" t="n">
        <f aca="false">-MAX(0,AE57-AE58)*Supuestos!$E$21</f>
        <v>-1759.87031837497</v>
      </c>
      <c r="AF59" s="62" t="n">
        <f aca="false">-MAX(0,AF57-AF58)*Supuestos!$E$21</f>
        <v>-1759.80770242156</v>
      </c>
      <c r="AG59" s="62" t="n">
        <f aca="false">-MAX(0,AG57-AG58)*Supuestos!$E$21</f>
        <v>-1759.7453995479</v>
      </c>
      <c r="AH59" s="62" t="n">
        <f aca="false">-MAX(0,AH57-AH58)*Supuestos!$E$21</f>
        <v>-1759.68340818862</v>
      </c>
      <c r="AI59" s="62" t="n">
        <f aca="false">-MAX(0,AI57-AI58)*Supuestos!$E$21</f>
        <v>-1759.62172678613</v>
      </c>
      <c r="AJ59" s="62" t="n">
        <f aca="false">-MAX(0,AJ57-AJ58)*Supuestos!$E$21</f>
        <v>-1759.56035379066</v>
      </c>
    </row>
    <row r="60" customFormat="false" ht="15" hidden="false" customHeight="false" outlineLevel="0" collapsed="false">
      <c r="A60" s="6" t="s">
        <v>623</v>
      </c>
      <c r="B60" s="2"/>
      <c r="C60" s="62" t="n">
        <f aca="false">C53+C57</f>
        <v>-10699</v>
      </c>
      <c r="D60" s="62" t="n">
        <f aca="false">D53+D57</f>
        <v>-16048.5</v>
      </c>
      <c r="E60" s="62" t="n">
        <f aca="false">E53+E57</f>
        <v>-16048.5</v>
      </c>
      <c r="F60" s="62" t="n">
        <f aca="false">F53+F57</f>
        <v>-10699</v>
      </c>
      <c r="G60" s="62" t="n">
        <f aca="false">G53+G57</f>
        <v>5121.62019959189</v>
      </c>
      <c r="H60" s="62" t="n">
        <f aca="false">H53+H57</f>
        <v>5871.33538661621</v>
      </c>
      <c r="I60" s="62" t="n">
        <f aca="false">I53+I57</f>
        <v>5871.10116181132</v>
      </c>
      <c r="J60" s="62" t="n">
        <f aca="false">J53+J57</f>
        <v>5870.86810813045</v>
      </c>
      <c r="K60" s="62" t="n">
        <f aca="false">K53+K57</f>
        <v>5870.63621971798</v>
      </c>
      <c r="L60" s="62" t="n">
        <f aca="false">L53+L57</f>
        <v>5870.40549074757</v>
      </c>
      <c r="M60" s="62" t="n">
        <f aca="false">M53+M57</f>
        <v>5870.17591542202</v>
      </c>
      <c r="N60" s="62" t="n">
        <f aca="false">N53+N57</f>
        <v>5869.9474879731</v>
      </c>
      <c r="O60" s="62" t="n">
        <f aca="false">O53+O57</f>
        <v>5869.72020266142</v>
      </c>
      <c r="P60" s="62" t="n">
        <f aca="false">P53+P57</f>
        <v>5869.49405377629</v>
      </c>
      <c r="Q60" s="62" t="n">
        <f aca="false">Q53+Q57</f>
        <v>5869.2690356356</v>
      </c>
      <c r="R60" s="62" t="n">
        <f aca="false">R53+R57</f>
        <v>5869.0451425856</v>
      </c>
      <c r="S60" s="62" t="n">
        <f aca="false">S53+S57</f>
        <v>5868.82236900086</v>
      </c>
      <c r="T60" s="62" t="n">
        <f aca="false">T53+T57</f>
        <v>5868.60070928404</v>
      </c>
      <c r="U60" s="62" t="n">
        <f aca="false">U53+U57</f>
        <v>5868.38015786581</v>
      </c>
      <c r="V60" s="62" t="n">
        <f aca="false">V53+V57</f>
        <v>5868.16070920466</v>
      </c>
      <c r="W60" s="62" t="n">
        <f aca="false">W53+W57</f>
        <v>5867.94235778682</v>
      </c>
      <c r="X60" s="62" t="n">
        <f aca="false">X53+X57</f>
        <v>5867.72509812608</v>
      </c>
      <c r="Y60" s="62" t="n">
        <f aca="false">Y53+Y57</f>
        <v>5867.50892476363</v>
      </c>
      <c r="Z60" s="62" t="n">
        <f aca="false">Z53+Z57</f>
        <v>5867.293832268</v>
      </c>
      <c r="AA60" s="62" t="n">
        <f aca="false">AA53+AA57</f>
        <v>5867.07981523484</v>
      </c>
      <c r="AB60" s="62" t="n">
        <f aca="false">AB53+AB57</f>
        <v>5866.86686828685</v>
      </c>
      <c r="AC60" s="62" t="n">
        <f aca="false">AC53+AC57</f>
        <v>5866.6549860736</v>
      </c>
      <c r="AD60" s="62" t="n">
        <f aca="false">AD53+AD57</f>
        <v>5866.44416327142</v>
      </c>
      <c r="AE60" s="62" t="n">
        <f aca="false">AE53+AE57</f>
        <v>5866.23439458325</v>
      </c>
      <c r="AF60" s="62" t="n">
        <f aca="false">AF53+AF57</f>
        <v>5866.02567473852</v>
      </c>
      <c r="AG60" s="62" t="n">
        <f aca="false">AG53+AG57</f>
        <v>5865.81799849301</v>
      </c>
      <c r="AH60" s="62" t="n">
        <f aca="false">AH53+AH57</f>
        <v>5865.61136062873</v>
      </c>
      <c r="AI60" s="62" t="n">
        <f aca="false">AI53+AI57</f>
        <v>5865.40575595377</v>
      </c>
      <c r="AJ60" s="62" t="n">
        <f aca="false">AJ53+AJ57</f>
        <v>5865.20117930219</v>
      </c>
    </row>
    <row r="61" customFormat="false" ht="15" hidden="false" customHeight="false" outlineLevel="0" collapsed="false">
      <c r="A61" s="14" t="s">
        <v>624</v>
      </c>
      <c r="B61" s="2"/>
      <c r="C61" s="63" t="n">
        <f aca="false">C60+C59</f>
        <v>-10699</v>
      </c>
      <c r="D61" s="63" t="n">
        <f aca="false">D60+D59</f>
        <v>-16048.5</v>
      </c>
      <c r="E61" s="63" t="n">
        <f aca="false">E60+E59</f>
        <v>-16048.5</v>
      </c>
      <c r="F61" s="63" t="n">
        <f aca="false">F60+F59</f>
        <v>-10699</v>
      </c>
      <c r="G61" s="63" t="n">
        <f aca="false">G60+G59</f>
        <v>4383.80913971432</v>
      </c>
      <c r="H61" s="63" t="n">
        <f aca="false">H60+H59</f>
        <v>4908.60977063135</v>
      </c>
      <c r="I61" s="63" t="n">
        <f aca="false">I60+I59</f>
        <v>4908.44581326792</v>
      </c>
      <c r="J61" s="63" t="n">
        <f aca="false">J60+J59</f>
        <v>4908.28267569131</v>
      </c>
      <c r="K61" s="63" t="n">
        <f aca="false">K60+K59</f>
        <v>4908.12035380259</v>
      </c>
      <c r="L61" s="63" t="n">
        <f aca="false">L60+L59</f>
        <v>4907.9588435233</v>
      </c>
      <c r="M61" s="63" t="n">
        <f aca="false">M60+M59</f>
        <v>4907.79814079542</v>
      </c>
      <c r="N61" s="63" t="n">
        <f aca="false">N60+N59</f>
        <v>4907.63824158117</v>
      </c>
      <c r="O61" s="63" t="n">
        <f aca="false">O60+O59</f>
        <v>4907.47914186299</v>
      </c>
      <c r="P61" s="63" t="n">
        <f aca="false">P60+P59</f>
        <v>4907.32083764341</v>
      </c>
      <c r="Q61" s="63" t="n">
        <f aca="false">Q60+Q59</f>
        <v>4907.16332494492</v>
      </c>
      <c r="R61" s="63" t="n">
        <f aca="false">R60+R59</f>
        <v>4907.00659980992</v>
      </c>
      <c r="S61" s="63" t="n">
        <f aca="false">S60+S59</f>
        <v>4906.8506583006</v>
      </c>
      <c r="T61" s="63" t="n">
        <f aca="false">T60+T59</f>
        <v>4906.69549649883</v>
      </c>
      <c r="U61" s="63" t="n">
        <f aca="false">U60+U59</f>
        <v>4906.54111050606</v>
      </c>
      <c r="V61" s="63" t="n">
        <f aca="false">V60+V59</f>
        <v>4906.38749644326</v>
      </c>
      <c r="W61" s="63" t="n">
        <f aca="false">W60+W59</f>
        <v>4906.23465045078</v>
      </c>
      <c r="X61" s="63" t="n">
        <f aca="false">X60+X59</f>
        <v>4906.08256868825</v>
      </c>
      <c r="Y61" s="63" t="n">
        <f aca="false">Y60+Y59</f>
        <v>4905.93124733454</v>
      </c>
      <c r="Z61" s="63" t="n">
        <f aca="false">Z60+Z59</f>
        <v>4905.7806825876</v>
      </c>
      <c r="AA61" s="63" t="n">
        <f aca="false">AA60+AA59</f>
        <v>4106.95587066439</v>
      </c>
      <c r="AB61" s="63" t="n">
        <f aca="false">AB60+AB59</f>
        <v>4106.8068078008</v>
      </c>
      <c r="AC61" s="63" t="n">
        <f aca="false">AC60+AC59</f>
        <v>4106.65849025152</v>
      </c>
      <c r="AD61" s="63" t="n">
        <f aca="false">AD60+AD59</f>
        <v>4106.51091428999</v>
      </c>
      <c r="AE61" s="63" t="n">
        <f aca="false">AE60+AE59</f>
        <v>4106.36407620827</v>
      </c>
      <c r="AF61" s="63" t="n">
        <f aca="false">AF60+AF59</f>
        <v>4106.21797231696</v>
      </c>
      <c r="AG61" s="63" t="n">
        <f aca="false">AG60+AG59</f>
        <v>4106.07259894511</v>
      </c>
      <c r="AH61" s="63" t="n">
        <f aca="false">AH60+AH59</f>
        <v>4105.92795244011</v>
      </c>
      <c r="AI61" s="63" t="n">
        <f aca="false">AI60+AI59</f>
        <v>4105.78402916764</v>
      </c>
      <c r="AJ61" s="63" t="n">
        <f aca="false">AJ60+AJ59</f>
        <v>4105.64082551153</v>
      </c>
    </row>
    <row r="62" customFormat="false" ht="15" hidden="false" customHeight="false" outlineLevel="0" collapsed="false">
      <c r="A62" s="14" t="s">
        <v>625</v>
      </c>
      <c r="B62" s="2"/>
      <c r="C62" s="63" t="n">
        <f aca="false">C61</f>
        <v>-10699</v>
      </c>
      <c r="D62" s="63" t="n">
        <f aca="false">C62+D61</f>
        <v>-26747.5</v>
      </c>
      <c r="E62" s="63" t="n">
        <f aca="false">D62+E61</f>
        <v>-42796</v>
      </c>
      <c r="F62" s="63" t="n">
        <f aca="false">E62+F61</f>
        <v>-53495</v>
      </c>
      <c r="G62" s="63" t="n">
        <f aca="false">F62+G61</f>
        <v>-49111.1908602857</v>
      </c>
      <c r="H62" s="63" t="n">
        <f aca="false">G62+H61</f>
        <v>-44202.5810896543</v>
      </c>
      <c r="I62" s="63" t="n">
        <f aca="false">H62+I61</f>
        <v>-39294.1352763864</v>
      </c>
      <c r="J62" s="63" t="n">
        <f aca="false">I62+J61</f>
        <v>-34385.8526006951</v>
      </c>
      <c r="K62" s="63" t="n">
        <f aca="false">J62+K61</f>
        <v>-29477.7322468925</v>
      </c>
      <c r="L62" s="63" t="n">
        <f aca="false">K62+L61</f>
        <v>-24569.7734033692</v>
      </c>
      <c r="M62" s="63" t="n">
        <f aca="false">L62+M61</f>
        <v>-19661.9752625738</v>
      </c>
      <c r="N62" s="63" t="n">
        <f aca="false">M62+N61</f>
        <v>-14754.3370209926</v>
      </c>
      <c r="O62" s="63" t="n">
        <f aca="false">N62+O61</f>
        <v>-9846.85787912963</v>
      </c>
      <c r="P62" s="63" t="n">
        <f aca="false">O62+P61</f>
        <v>-4939.53704148623</v>
      </c>
      <c r="Q62" s="63" t="n">
        <f aca="false">P62+Q61</f>
        <v>-32.3737165413086</v>
      </c>
      <c r="R62" s="63" t="n">
        <f aca="false">Q62+R61</f>
        <v>4874.63288326861</v>
      </c>
      <c r="S62" s="63" t="n">
        <f aca="false">R62+S61</f>
        <v>9781.48354156922</v>
      </c>
      <c r="T62" s="63" t="n">
        <f aca="false">S62+T61</f>
        <v>14688.179038068</v>
      </c>
      <c r="U62" s="63" t="n">
        <f aca="false">T62+U61</f>
        <v>19594.7201485741</v>
      </c>
      <c r="V62" s="63" t="n">
        <f aca="false">U62+V61</f>
        <v>24501.1076450174</v>
      </c>
      <c r="W62" s="63" t="n">
        <f aca="false">V62+W61</f>
        <v>29407.3422954682</v>
      </c>
      <c r="X62" s="63" t="n">
        <f aca="false">W62+X61</f>
        <v>34313.4248641564</v>
      </c>
      <c r="Y62" s="63" t="n">
        <f aca="false">X62+Y61</f>
        <v>39219.3561114909</v>
      </c>
      <c r="Z62" s="63" t="n">
        <f aca="false">Y62+Z61</f>
        <v>44125.1367940785</v>
      </c>
      <c r="AA62" s="63" t="n">
        <f aca="false">Z62+AA61</f>
        <v>48232.0926647429</v>
      </c>
      <c r="AB62" s="63" t="n">
        <f aca="false">AA62+AB61</f>
        <v>52338.8994725437</v>
      </c>
      <c r="AC62" s="63" t="n">
        <f aca="false">AB62+AC61</f>
        <v>56445.5579627953</v>
      </c>
      <c r="AD62" s="63" t="n">
        <f aca="false">AC62+AD61</f>
        <v>60552.0688770852</v>
      </c>
      <c r="AE62" s="63" t="n">
        <f aca="false">AD62+AE61</f>
        <v>64658.4329532935</v>
      </c>
      <c r="AF62" s="63" t="n">
        <f aca="false">AE62+AF61</f>
        <v>68764.6509256105</v>
      </c>
      <c r="AG62" s="63" t="n">
        <f aca="false">AF62+AG61</f>
        <v>72870.7235245556</v>
      </c>
      <c r="AH62" s="63" t="n">
        <f aca="false">AG62+AH61</f>
        <v>76976.6514769957</v>
      </c>
      <c r="AI62" s="63" t="n">
        <f aca="false">AH62+AI61</f>
        <v>81082.4355061633</v>
      </c>
      <c r="AJ62" s="63" t="n">
        <f aca="false">AI62+AJ61</f>
        <v>85188.0763316749</v>
      </c>
    </row>
    <row r="63" customFormat="false" ht="15" hidden="false" customHeight="false" outlineLevel="0" collapsed="false">
      <c r="A63" s="6" t="s">
        <v>626</v>
      </c>
      <c r="B63" s="2"/>
      <c r="C63" s="62" t="n">
        <f aca="false">C61/(1+Supuestos!$E$20)^0</f>
        <v>-10699</v>
      </c>
      <c r="D63" s="62" t="n">
        <f aca="false">D61/(1+Supuestos!$E$20)^1</f>
        <v>-14998.5981308411</v>
      </c>
      <c r="E63" s="62" t="n">
        <f aca="false">E61/(1+Supuestos!$E$20)^2</f>
        <v>-14017.3814306926</v>
      </c>
      <c r="F63" s="62" t="n">
        <f aca="false">F61/(1+Supuestos!$E$20)^3</f>
        <v>-8733.57098485523</v>
      </c>
      <c r="G63" s="62" t="n">
        <f aca="false">G61/(1+Supuestos!$E$20)^4</f>
        <v>3344.38700321824</v>
      </c>
      <c r="H63" s="62" t="n">
        <f aca="false">H61/(1+Supuestos!$E$20)^5</f>
        <v>3499.77092693865</v>
      </c>
      <c r="I63" s="62" t="n">
        <f aca="false">I61/(1+Supuestos!$E$20)^6</f>
        <v>3270.7046986958</v>
      </c>
      <c r="J63" s="62" t="n">
        <f aca="false">J61/(1+Supuestos!$E$20)^7</f>
        <v>3056.63176938337</v>
      </c>
      <c r="K63" s="62" t="n">
        <f aca="false">K61/(1+Supuestos!$E$20)^8</f>
        <v>2856.57073221408</v>
      </c>
      <c r="L63" s="62" t="n">
        <f aca="false">L61/(1+Supuestos!$E$20)^9</f>
        <v>2669.6044222066</v>
      </c>
      <c r="M63" s="62" t="n">
        <f aca="false">M61/(1+Supuestos!$E$20)^10</f>
        <v>2494.87571081343</v>
      </c>
      <c r="N63" s="62" t="n">
        <f aca="false">N61/(1+Supuestos!$E$20)^11</f>
        <v>2331.58357585145</v>
      </c>
      <c r="O63" s="62" t="n">
        <f aca="false">O61/(1+Supuestos!$E$20)^12</f>
        <v>2178.97942871163</v>
      </c>
      <c r="P63" s="62" t="n">
        <f aca="false">P61/(1+Supuestos!$E$20)^13</f>
        <v>2036.36368200461</v>
      </c>
      <c r="Q63" s="62" t="n">
        <f aca="false">Q61/(1+Supuestos!$E$20)^14</f>
        <v>1903.08254190154</v>
      </c>
      <c r="R63" s="62" t="n">
        <f aca="false">R61/(1+Supuestos!$E$20)^15</f>
        <v>1778.52501045989</v>
      </c>
      <c r="S63" s="62" t="n">
        <f aca="false">S61/(1+Supuestos!$E$20)^16</f>
        <v>1662.12008418742</v>
      </c>
      <c r="T63" s="62" t="n">
        <f aca="false">T61/(1+Supuestos!$E$20)^17</f>
        <v>1553.33413599711</v>
      </c>
      <c r="U63" s="62" t="n">
        <f aca="false">U61/(1+Supuestos!$E$20)^18</f>
        <v>1451.66846854725</v>
      </c>
      <c r="V63" s="62" t="n">
        <f aca="false">V61/(1+Supuestos!$E$20)^19</f>
        <v>1356.65702774675</v>
      </c>
      <c r="W63" s="62" t="n">
        <f aca="false">W61/(1+Supuestos!$E$20)^20</f>
        <v>1267.86426594034</v>
      </c>
      <c r="X63" s="62" t="n">
        <f aca="false">X61/(1+Supuestos!$E$20)^21</f>
        <v>1184.88314497469</v>
      </c>
      <c r="Y63" s="62" t="n">
        <f aca="false">Y61/(1+Supuestos!$E$20)^22</f>
        <v>1107.33326998829</v>
      </c>
      <c r="Z63" s="62" t="n">
        <f aca="false">Z61/(1+Supuestos!$E$20)^23</f>
        <v>1034.859145367</v>
      </c>
      <c r="AA63" s="62" t="n">
        <f aca="false">AA61/(1+Supuestos!$E$20)^24</f>
        <v>809.672468180349</v>
      </c>
      <c r="AB63" s="62" t="n">
        <f aca="false">AB61/(1+Supuestos!$E$20)^25</f>
        <v>756.67577658003</v>
      </c>
      <c r="AC63" s="62" t="n">
        <f aca="false">AC61/(1+Supuestos!$E$20)^26</f>
        <v>707.148083358471</v>
      </c>
      <c r="AD63" s="62" t="n">
        <f aca="false">AD61/(1+Supuestos!$E$20)^27</f>
        <v>660.862309759831</v>
      </c>
      <c r="AE63" s="62" t="n">
        <f aca="false">AE61/(1+Supuestos!$E$20)^28</f>
        <v>617.606242105987</v>
      </c>
      <c r="AF63" s="62" t="n">
        <f aca="false">AF61/(1+Supuestos!$E$20)^29</f>
        <v>577.181558651859</v>
      </c>
      <c r="AG63" s="62" t="n">
        <f aca="false">AG61/(1+Supuestos!$E$20)^30</f>
        <v>539.402920150872</v>
      </c>
      <c r="AH63" s="62" t="n">
        <f aca="false">AH61/(1+Supuestos!$E$20)^31</f>
        <v>504.09711995935</v>
      </c>
      <c r="AI63" s="62" t="n">
        <f aca="false">AI61/(1+Supuestos!$E$20)^32</f>
        <v>471.102289781735</v>
      </c>
      <c r="AJ63" s="62" t="n">
        <f aca="false">AJ61/(1+Supuestos!$E$20)^33</f>
        <v>440.267157413772</v>
      </c>
    </row>
    <row r="64" customFormat="false" ht="15" hidden="false" customHeight="false" outlineLevel="0" collapsed="false">
      <c r="A64" s="6" t="s">
        <v>627</v>
      </c>
      <c r="B64" s="2"/>
      <c r="C64" s="62" t="n">
        <f aca="false">C63</f>
        <v>-10699</v>
      </c>
      <c r="D64" s="62" t="n">
        <f aca="false">C64+D63</f>
        <v>-25697.5981308411</v>
      </c>
      <c r="E64" s="62" t="n">
        <f aca="false">D64+E63</f>
        <v>-39714.9795615338</v>
      </c>
      <c r="F64" s="62" t="n">
        <f aca="false">E64+F63</f>
        <v>-48448.550546389</v>
      </c>
      <c r="G64" s="62" t="n">
        <f aca="false">F64+G63</f>
        <v>-45104.1635431708</v>
      </c>
      <c r="H64" s="62" t="n">
        <f aca="false">G64+H63</f>
        <v>-41604.3926162321</v>
      </c>
      <c r="I64" s="62" t="n">
        <f aca="false">H64+I63</f>
        <v>-38333.6879175363</v>
      </c>
      <c r="J64" s="62" t="n">
        <f aca="false">I64+J63</f>
        <v>-35277.0561481529</v>
      </c>
      <c r="K64" s="62" t="n">
        <f aca="false">J64+K63</f>
        <v>-32420.4854159388</v>
      </c>
      <c r="L64" s="62" t="n">
        <f aca="false">K64+L63</f>
        <v>-29750.8809937322</v>
      </c>
      <c r="M64" s="62" t="n">
        <f aca="false">L64+M63</f>
        <v>-27256.0052829188</v>
      </c>
      <c r="N64" s="62" t="n">
        <f aca="false">M64+N63</f>
        <v>-24924.4217070674</v>
      </c>
      <c r="O64" s="62" t="n">
        <f aca="false">N64+O63</f>
        <v>-22745.4422783557</v>
      </c>
      <c r="P64" s="62" t="n">
        <f aca="false">O64+P63</f>
        <v>-20709.0785963511</v>
      </c>
      <c r="Q64" s="62" t="n">
        <f aca="false">P64+Q63</f>
        <v>-18805.9960544496</v>
      </c>
      <c r="R64" s="62" t="n">
        <f aca="false">Q64+R63</f>
        <v>-17027.4710439897</v>
      </c>
      <c r="S64" s="62" t="n">
        <f aca="false">R64+S63</f>
        <v>-15365.3509598023</v>
      </c>
      <c r="T64" s="62" t="n">
        <f aca="false">S64+T63</f>
        <v>-13812.0168238052</v>
      </c>
      <c r="U64" s="62" t="n">
        <f aca="false">T64+U63</f>
        <v>-12360.3483552579</v>
      </c>
      <c r="V64" s="62" t="n">
        <f aca="false">U64+V63</f>
        <v>-11003.6913275112</v>
      </c>
      <c r="W64" s="62" t="n">
        <f aca="false">V64+W63</f>
        <v>-9735.82706157082</v>
      </c>
      <c r="X64" s="62" t="n">
        <f aca="false">W64+X63</f>
        <v>-8550.94391659613</v>
      </c>
      <c r="Y64" s="62" t="n">
        <f aca="false">X64+Y63</f>
        <v>-7443.61064660784</v>
      </c>
      <c r="Z64" s="62" t="n">
        <f aca="false">Y64+Z63</f>
        <v>-6408.75150124084</v>
      </c>
      <c r="AA64" s="62" t="n">
        <f aca="false">Z64+AA63</f>
        <v>-5599.07903306049</v>
      </c>
      <c r="AB64" s="62" t="n">
        <f aca="false">AA64+AB63</f>
        <v>-4842.40325648046</v>
      </c>
      <c r="AC64" s="62" t="n">
        <f aca="false">AB64+AC63</f>
        <v>-4135.25517312199</v>
      </c>
      <c r="AD64" s="62" t="n">
        <f aca="false">AC64+AD63</f>
        <v>-3474.39286336216</v>
      </c>
      <c r="AE64" s="62" t="n">
        <f aca="false">AD64+AE63</f>
        <v>-2856.78662125617</v>
      </c>
      <c r="AF64" s="62" t="n">
        <f aca="false">AE64+AF63</f>
        <v>-2279.60506260431</v>
      </c>
      <c r="AG64" s="62" t="n">
        <f aca="false">AF64+AG63</f>
        <v>-1740.20214245344</v>
      </c>
      <c r="AH64" s="62" t="n">
        <f aca="false">AG64+AH63</f>
        <v>-1236.10502249409</v>
      </c>
      <c r="AI64" s="62" t="n">
        <f aca="false">AH64+AI63</f>
        <v>-765.002732712356</v>
      </c>
      <c r="AJ64" s="62" t="n">
        <f aca="false">AI64+AJ63</f>
        <v>-324.735575298585</v>
      </c>
    </row>
    <row r="65" customFormat="false" ht="15" hidden="false" customHeight="false" outlineLevel="0" collapsed="false">
      <c r="A65" s="14" t="s">
        <v>30</v>
      </c>
      <c r="B65" s="26" t="n">
        <f aca="false">SUM(C63:AJ63)</f>
        <v>-324.735575298585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customFormat="false" ht="15" hidden="false" customHeight="false" outlineLevel="0" collapsed="false">
      <c r="A66" s="14" t="s">
        <v>28</v>
      </c>
      <c r="B66" s="64" t="n">
        <f aca="false">IFERROR(IRR(C60:AJ60,0.02),IFERROR(IRR(C60:AJ60,-0.05),"negativa"))</f>
        <v>0.0876286172681369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customFormat="false" ht="15" hidden="false" customHeight="false" outlineLevel="0" collapsed="false">
      <c r="A67" s="14" t="s">
        <v>29</v>
      </c>
      <c r="B67" s="64" t="n">
        <f aca="false">IFERROR(IRR(C61:AJ61,0.02),IFERROR(IRR(C61:AJ61,-0.05),"negativa"))</f>
        <v>0.0694037519082817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customFormat="false" ht="15" hidden="false" customHeight="false" outlineLevel="0" collapsed="false">
      <c r="A68" s="14" t="s">
        <v>628</v>
      </c>
      <c r="B68" s="65" t="n">
        <f aca="false">IF(COUNTIF(G62:AJ62,"&lt;0")&gt;=30,"más de 30",COUNTIF(G62:AJ62,"&lt;0")+1)</f>
        <v>12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 customFormat="false" ht="15" hidden="false" customHeight="false" outlineLevel="0" collapsed="false">
      <c r="A69" s="14" t="s">
        <v>629</v>
      </c>
      <c r="B69" s="65" t="str">
        <f aca="false">IF(COUNTIF(G64:AJ64,"&lt;0")&gt;=30,"más de 30",COUNTIF(G64:AJ64,"&lt;0")+1)</f>
        <v>más de 30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 customFormat="false" ht="15" hidden="false" customHeight="false" outlineLevel="0" collapsed="false">
      <c r="A70" s="14" t="s">
        <v>630</v>
      </c>
      <c r="B70" s="26" t="n">
        <f aca="false">AJ62</f>
        <v>85188.0763316749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 customFormat="false" ht="15" hidden="false" customHeight="false" outlineLevel="0" collapsed="false">
      <c r="A73" s="57" t="s">
        <v>633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</row>
    <row r="74" customFormat="false" ht="15" hidden="false" customHeight="false" outlineLevel="0" collapsed="false">
      <c r="A74" s="6" t="s">
        <v>582</v>
      </c>
      <c r="B74" s="2"/>
      <c r="C74" s="59" t="s">
        <v>583</v>
      </c>
      <c r="D74" s="59" t="s">
        <v>584</v>
      </c>
      <c r="E74" s="59" t="s">
        <v>585</v>
      </c>
      <c r="F74" s="59" t="s">
        <v>586</v>
      </c>
      <c r="G74" s="59" t="s">
        <v>587</v>
      </c>
      <c r="H74" s="59" t="s">
        <v>588</v>
      </c>
      <c r="I74" s="59" t="s">
        <v>589</v>
      </c>
      <c r="J74" s="59" t="s">
        <v>590</v>
      </c>
      <c r="K74" s="59" t="s">
        <v>591</v>
      </c>
      <c r="L74" s="59" t="s">
        <v>592</v>
      </c>
      <c r="M74" s="59" t="s">
        <v>593</v>
      </c>
      <c r="N74" s="59" t="s">
        <v>594</v>
      </c>
      <c r="O74" s="59" t="s">
        <v>595</v>
      </c>
      <c r="P74" s="59" t="s">
        <v>596</v>
      </c>
      <c r="Q74" s="59" t="s">
        <v>597</v>
      </c>
      <c r="R74" s="59" t="s">
        <v>598</v>
      </c>
      <c r="S74" s="59" t="s">
        <v>599</v>
      </c>
      <c r="T74" s="59" t="s">
        <v>600</v>
      </c>
      <c r="U74" s="59" t="s">
        <v>601</v>
      </c>
      <c r="V74" s="59" t="s">
        <v>602</v>
      </c>
      <c r="W74" s="59" t="s">
        <v>603</v>
      </c>
      <c r="X74" s="59" t="s">
        <v>604</v>
      </c>
      <c r="Y74" s="59" t="s">
        <v>605</v>
      </c>
      <c r="Z74" s="59" t="s">
        <v>606</v>
      </c>
      <c r="AA74" s="59" t="s">
        <v>607</v>
      </c>
      <c r="AB74" s="59" t="s">
        <v>608</v>
      </c>
      <c r="AC74" s="59" t="s">
        <v>609</v>
      </c>
      <c r="AD74" s="59" t="s">
        <v>610</v>
      </c>
      <c r="AE74" s="59" t="s">
        <v>611</v>
      </c>
      <c r="AF74" s="59" t="s">
        <v>612</v>
      </c>
      <c r="AG74" s="59" t="s">
        <v>613</v>
      </c>
      <c r="AH74" s="59" t="s">
        <v>614</v>
      </c>
      <c r="AI74" s="59" t="s">
        <v>615</v>
      </c>
      <c r="AJ74" s="59" t="s">
        <v>616</v>
      </c>
    </row>
    <row r="75" customFormat="false" ht="15" hidden="false" customHeight="false" outlineLevel="0" collapsed="false">
      <c r="A75" s="6" t="s">
        <v>617</v>
      </c>
      <c r="B75" s="2"/>
      <c r="C75" s="60" t="n">
        <f aca="false">Supuestos!$D$14</f>
        <v>0.2</v>
      </c>
      <c r="D75" s="60" t="n">
        <f aca="false">Supuestos!$D$15</f>
        <v>0.3</v>
      </c>
      <c r="E75" s="60" t="n">
        <f aca="false">Supuestos!$D$16</f>
        <v>0.3</v>
      </c>
      <c r="F75" s="60" t="n">
        <f aca="false">Supuestos!$D$17</f>
        <v>0.2</v>
      </c>
      <c r="G75" s="60" t="n">
        <f aca="false">Supuestos!$D$18</f>
        <v>0.85</v>
      </c>
      <c r="H75" s="60" t="n">
        <f aca="false">Supuestos!$D$19</f>
        <v>0.95</v>
      </c>
      <c r="I75" s="61" t="n">
        <v>1</v>
      </c>
      <c r="J75" s="61" t="n">
        <v>1</v>
      </c>
      <c r="K75" s="61" t="n">
        <v>1</v>
      </c>
      <c r="L75" s="61" t="n">
        <v>1</v>
      </c>
      <c r="M75" s="61" t="n">
        <v>1</v>
      </c>
      <c r="N75" s="61" t="n">
        <v>1</v>
      </c>
      <c r="O75" s="61" t="n">
        <v>1</v>
      </c>
      <c r="P75" s="61" t="n">
        <v>1</v>
      </c>
      <c r="Q75" s="61" t="n">
        <v>1</v>
      </c>
      <c r="R75" s="61" t="n">
        <v>1</v>
      </c>
      <c r="S75" s="61" t="n">
        <v>1</v>
      </c>
      <c r="T75" s="61" t="n">
        <v>1</v>
      </c>
      <c r="U75" s="61" t="n">
        <v>1</v>
      </c>
      <c r="V75" s="61" t="n">
        <v>1</v>
      </c>
      <c r="W75" s="61" t="n">
        <v>1</v>
      </c>
      <c r="X75" s="61" t="n">
        <v>1</v>
      </c>
      <c r="Y75" s="61" t="n">
        <v>1</v>
      </c>
      <c r="Z75" s="61" t="n">
        <v>1</v>
      </c>
      <c r="AA75" s="61" t="n">
        <v>1</v>
      </c>
      <c r="AB75" s="61" t="n">
        <v>1</v>
      </c>
      <c r="AC75" s="61" t="n">
        <v>1</v>
      </c>
      <c r="AD75" s="61" t="n">
        <v>1</v>
      </c>
      <c r="AE75" s="61" t="n">
        <v>1</v>
      </c>
      <c r="AF75" s="61" t="n">
        <v>1</v>
      </c>
      <c r="AG75" s="61" t="n">
        <v>1</v>
      </c>
      <c r="AH75" s="61" t="n">
        <v>1</v>
      </c>
      <c r="AI75" s="61" t="n">
        <v>1</v>
      </c>
      <c r="AJ75" s="61" t="n">
        <v>1</v>
      </c>
    </row>
    <row r="76" customFormat="false" ht="15" hidden="false" customHeight="false" outlineLevel="0" collapsed="false">
      <c r="A76" s="6" t="s">
        <v>618</v>
      </c>
      <c r="B76" s="2"/>
      <c r="C76" s="62" t="n">
        <f aca="false">-(Supuestos!$D$8+Supuestos!$D$13-Supuestos!$D$12*Supuestos!$D$23)*C75</f>
        <v>-7045.8</v>
      </c>
      <c r="D76" s="62" t="n">
        <f aca="false">-(Supuestos!$D$8+Supuestos!$D$13-Supuestos!$D$12*Supuestos!$D$23)*D75</f>
        <v>-10568.7</v>
      </c>
      <c r="E76" s="62" t="n">
        <f aca="false">-(Supuestos!$D$8+Supuestos!$D$13-Supuestos!$D$12*Supuestos!$D$23)*E75</f>
        <v>-10568.7</v>
      </c>
      <c r="F76" s="62" t="n">
        <f aca="false">-(Supuestos!$D$8+Supuestos!$D$13-Supuestos!$D$12*Supuestos!$D$23)*F75</f>
        <v>-7045.8</v>
      </c>
      <c r="G76" s="62" t="n">
        <v>0</v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2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0</v>
      </c>
      <c r="AB76" s="62" t="n">
        <v>0</v>
      </c>
      <c r="AC76" s="62" t="n">
        <v>0</v>
      </c>
      <c r="AD76" s="62" t="n">
        <v>0</v>
      </c>
      <c r="AE76" s="62" t="n">
        <v>0</v>
      </c>
      <c r="AF76" s="62" t="n">
        <v>0</v>
      </c>
      <c r="AG76" s="62" t="n">
        <v>0</v>
      </c>
      <c r="AH76" s="62" t="n">
        <v>0</v>
      </c>
      <c r="AI76" s="62" t="n">
        <v>0</v>
      </c>
      <c r="AJ76" s="62" t="n">
        <v>0</v>
      </c>
    </row>
    <row r="77" customFormat="false" ht="15" hidden="false" customHeight="false" outlineLevel="0" collapsed="false">
      <c r="A77" s="6" t="s">
        <v>619</v>
      </c>
      <c r="B77" s="2"/>
      <c r="C77" s="62" t="n">
        <v>0</v>
      </c>
      <c r="D77" s="62" t="n">
        <v>0</v>
      </c>
      <c r="E77" s="62" t="n">
        <v>0</v>
      </c>
      <c r="F77" s="62" t="n">
        <v>0</v>
      </c>
      <c r="G77" s="62" t="n">
        <f aca="false">Ingresos!$D$68*G75</f>
        <v>3796.4718615936</v>
      </c>
      <c r="H77" s="62" t="n">
        <f aca="false">Ingresos!$D$68*H75</f>
        <v>4243.11561001638</v>
      </c>
      <c r="I77" s="62" t="n">
        <f aca="false">Ingresos!$D$68*I75</f>
        <v>4466.43748422777</v>
      </c>
      <c r="J77" s="62" t="n">
        <f aca="false">Ingresos!$D$68*J75</f>
        <v>4466.43748422777</v>
      </c>
      <c r="K77" s="62" t="n">
        <f aca="false">Ingresos!$D$68*K75</f>
        <v>4466.43748422777</v>
      </c>
      <c r="L77" s="62" t="n">
        <f aca="false">Ingresos!$D$68*L75</f>
        <v>4466.43748422777</v>
      </c>
      <c r="M77" s="62" t="n">
        <f aca="false">Ingresos!$D$68*M75</f>
        <v>4466.43748422777</v>
      </c>
      <c r="N77" s="62" t="n">
        <f aca="false">Ingresos!$D$68*N75</f>
        <v>4466.43748422777</v>
      </c>
      <c r="O77" s="62" t="n">
        <f aca="false">Ingresos!$D$68*O75</f>
        <v>4466.43748422777</v>
      </c>
      <c r="P77" s="62" t="n">
        <f aca="false">Ingresos!$D$68*P75</f>
        <v>4466.43748422777</v>
      </c>
      <c r="Q77" s="62" t="n">
        <f aca="false">Ingresos!$D$68*Q75</f>
        <v>4466.43748422777</v>
      </c>
      <c r="R77" s="62" t="n">
        <f aca="false">Ingresos!$D$68*R75</f>
        <v>4466.43748422777</v>
      </c>
      <c r="S77" s="62" t="n">
        <f aca="false">Ingresos!$D$68*S75</f>
        <v>4466.43748422777</v>
      </c>
      <c r="T77" s="62" t="n">
        <f aca="false">Ingresos!$D$68*T75</f>
        <v>4466.43748422777</v>
      </c>
      <c r="U77" s="62" t="n">
        <f aca="false">Ingresos!$D$68*U75</f>
        <v>4466.43748422777</v>
      </c>
      <c r="V77" s="62" t="n">
        <f aca="false">Ingresos!$D$68*V75</f>
        <v>4466.43748422777</v>
      </c>
      <c r="W77" s="62" t="n">
        <f aca="false">Ingresos!$D$68*W75</f>
        <v>4466.43748422777</v>
      </c>
      <c r="X77" s="62" t="n">
        <f aca="false">Ingresos!$D$68*X75</f>
        <v>4466.43748422777</v>
      </c>
      <c r="Y77" s="62" t="n">
        <f aca="false">Ingresos!$D$68*Y75</f>
        <v>4466.43748422777</v>
      </c>
      <c r="Z77" s="62" t="n">
        <f aca="false">Ingresos!$D$68*Z75</f>
        <v>4466.43748422777</v>
      </c>
      <c r="AA77" s="62" t="n">
        <f aca="false">Ingresos!$D$68*AA75</f>
        <v>4466.43748422777</v>
      </c>
      <c r="AB77" s="62" t="n">
        <f aca="false">Ingresos!$D$68*AB75</f>
        <v>4466.43748422777</v>
      </c>
      <c r="AC77" s="62" t="n">
        <f aca="false">Ingresos!$D$68*AC75</f>
        <v>4466.43748422777</v>
      </c>
      <c r="AD77" s="62" t="n">
        <f aca="false">Ingresos!$D$68*AD75</f>
        <v>4466.43748422777</v>
      </c>
      <c r="AE77" s="62" t="n">
        <f aca="false">Ingresos!$D$68*AE75</f>
        <v>4466.43748422777</v>
      </c>
      <c r="AF77" s="62" t="n">
        <f aca="false">Ingresos!$D$68*AF75</f>
        <v>4466.43748422777</v>
      </c>
      <c r="AG77" s="62" t="n">
        <f aca="false">Ingresos!$D$68*AG75</f>
        <v>4466.43748422777</v>
      </c>
      <c r="AH77" s="62" t="n">
        <f aca="false">Ingresos!$D$68*AH75</f>
        <v>4466.43748422777</v>
      </c>
      <c r="AI77" s="62" t="n">
        <f aca="false">Ingresos!$D$68*AI75</f>
        <v>4466.43748422777</v>
      </c>
      <c r="AJ77" s="62" t="n">
        <f aca="false">Ingresos!$D$68*AJ75</f>
        <v>4466.43748422777</v>
      </c>
    </row>
    <row r="78" customFormat="false" ht="15" hidden="false" customHeight="false" outlineLevel="0" collapsed="false">
      <c r="A78" s="6" t="s">
        <v>20</v>
      </c>
      <c r="B78" s="2"/>
      <c r="C78" s="62" t="n">
        <v>0</v>
      </c>
      <c r="D78" s="62" t="n">
        <v>0</v>
      </c>
      <c r="E78" s="62" t="n">
        <v>0</v>
      </c>
      <c r="F78" s="62" t="n">
        <v>0</v>
      </c>
      <c r="G78" s="62" t="n">
        <f aca="false">-Costos_Operacion!$D$42</f>
        <v>-1718.09656364913</v>
      </c>
      <c r="H78" s="62" t="n">
        <f aca="false">-Costos_Operacion!$D$42</f>
        <v>-1718.09656364913</v>
      </c>
      <c r="I78" s="62" t="n">
        <f aca="false">-Costos_Operacion!$D$42</f>
        <v>-1718.09656364913</v>
      </c>
      <c r="J78" s="62" t="n">
        <f aca="false">-Costos_Operacion!$D$42</f>
        <v>-1718.09656364913</v>
      </c>
      <c r="K78" s="62" t="n">
        <f aca="false">-Costos_Operacion!$D$42</f>
        <v>-1718.09656364913</v>
      </c>
      <c r="L78" s="62" t="n">
        <f aca="false">-Costos_Operacion!$D$42</f>
        <v>-1718.09656364913</v>
      </c>
      <c r="M78" s="62" t="n">
        <f aca="false">-Costos_Operacion!$D$42</f>
        <v>-1718.09656364913</v>
      </c>
      <c r="N78" s="62" t="n">
        <f aca="false">-Costos_Operacion!$D$42</f>
        <v>-1718.09656364913</v>
      </c>
      <c r="O78" s="62" t="n">
        <f aca="false">-Costos_Operacion!$D$42</f>
        <v>-1718.09656364913</v>
      </c>
      <c r="P78" s="62" t="n">
        <f aca="false">-Costos_Operacion!$D$42</f>
        <v>-1718.09656364913</v>
      </c>
      <c r="Q78" s="62" t="n">
        <f aca="false">-Costos_Operacion!$D$42</f>
        <v>-1718.09656364913</v>
      </c>
      <c r="R78" s="62" t="n">
        <f aca="false">-Costos_Operacion!$D$42</f>
        <v>-1718.09656364913</v>
      </c>
      <c r="S78" s="62" t="n">
        <f aca="false">-Costos_Operacion!$D$42</f>
        <v>-1718.09656364913</v>
      </c>
      <c r="T78" s="62" t="n">
        <f aca="false">-Costos_Operacion!$D$42</f>
        <v>-1718.09656364913</v>
      </c>
      <c r="U78" s="62" t="n">
        <f aca="false">-Costos_Operacion!$D$42</f>
        <v>-1718.09656364913</v>
      </c>
      <c r="V78" s="62" t="n">
        <f aca="false">-Costos_Operacion!$D$42</f>
        <v>-1718.09656364913</v>
      </c>
      <c r="W78" s="62" t="n">
        <f aca="false">-Costos_Operacion!$D$42</f>
        <v>-1718.09656364913</v>
      </c>
      <c r="X78" s="62" t="n">
        <f aca="false">-Costos_Operacion!$D$42</f>
        <v>-1718.09656364913</v>
      </c>
      <c r="Y78" s="62" t="n">
        <f aca="false">-Costos_Operacion!$D$42</f>
        <v>-1718.09656364913</v>
      </c>
      <c r="Z78" s="62" t="n">
        <f aca="false">-Costos_Operacion!$D$42</f>
        <v>-1718.09656364913</v>
      </c>
      <c r="AA78" s="62" t="n">
        <f aca="false">-Costos_Operacion!$D$42</f>
        <v>-1718.09656364913</v>
      </c>
      <c r="AB78" s="62" t="n">
        <f aca="false">-Costos_Operacion!$D$42</f>
        <v>-1718.09656364913</v>
      </c>
      <c r="AC78" s="62" t="n">
        <f aca="false">-Costos_Operacion!$D$42</f>
        <v>-1718.09656364913</v>
      </c>
      <c r="AD78" s="62" t="n">
        <f aca="false">-Costos_Operacion!$D$42</f>
        <v>-1718.09656364913</v>
      </c>
      <c r="AE78" s="62" t="n">
        <f aca="false">-Costos_Operacion!$D$42</f>
        <v>-1718.09656364913</v>
      </c>
      <c r="AF78" s="62" t="n">
        <f aca="false">-Costos_Operacion!$D$42</f>
        <v>-1718.09656364913</v>
      </c>
      <c r="AG78" s="62" t="n">
        <f aca="false">-Costos_Operacion!$D$42</f>
        <v>-1718.09656364913</v>
      </c>
      <c r="AH78" s="62" t="n">
        <f aca="false">-Costos_Operacion!$D$42</f>
        <v>-1718.09656364913</v>
      </c>
      <c r="AI78" s="62" t="n">
        <f aca="false">-Costos_Operacion!$D$42</f>
        <v>-1718.09656364913</v>
      </c>
      <c r="AJ78" s="62" t="n">
        <f aca="false">-Costos_Operacion!$D$42</f>
        <v>-1718.09656364913</v>
      </c>
    </row>
    <row r="79" customFormat="false" ht="15" hidden="false" customHeight="false" outlineLevel="0" collapsed="false">
      <c r="A79" s="6" t="s">
        <v>620</v>
      </c>
      <c r="B79" s="2"/>
      <c r="C79" s="62" t="n">
        <v>0</v>
      </c>
      <c r="D79" s="62" t="n">
        <v>0</v>
      </c>
      <c r="E79" s="62" t="n">
        <v>0</v>
      </c>
      <c r="F79" s="62" t="n">
        <v>0</v>
      </c>
      <c r="G79" s="62" t="n">
        <f aca="false">-Energia!$D$20*(1-(1-Supuestos!$D$146)^(1-1))*Supuestos!$D$153</f>
        <v>-0</v>
      </c>
      <c r="H79" s="62" t="n">
        <f aca="false">-Energia!$D$20*(1-(1-Supuestos!$D$146)^(2-1))*Supuestos!$D$153</f>
        <v>-0.222946490842582</v>
      </c>
      <c r="I79" s="62" t="n">
        <f aca="false">-Energia!$D$20*(1-(1-Supuestos!$D$146)^(3-1))*Supuestos!$D$153</f>
        <v>-0.444778249230949</v>
      </c>
      <c r="J79" s="62" t="n">
        <f aca="false">-Energia!$D$20*(1-(1-Supuestos!$D$146)^(4-1))*Supuestos!$D$153</f>
        <v>-0.665500848827377</v>
      </c>
      <c r="K79" s="62" t="n">
        <f aca="false">-Energia!$D$20*(1-(1-Supuestos!$D$146)^(5-1))*Supuestos!$D$153</f>
        <v>-0.885119835425825</v>
      </c>
      <c r="L79" s="62" t="n">
        <f aca="false">-Energia!$D$20*(1-(1-Supuestos!$D$146)^(6-1))*Supuestos!$D$153</f>
        <v>-1.10364072709128</v>
      </c>
      <c r="M79" s="62" t="n">
        <f aca="false">-Energia!$D$20*(1-(1-Supuestos!$D$146)^(7-1))*Supuestos!$D$153</f>
        <v>-1.3210690142984</v>
      </c>
      <c r="N79" s="62" t="n">
        <f aca="false">-Energia!$D$20*(1-(1-Supuestos!$D$146)^(8-1))*Supuestos!$D$153</f>
        <v>-1.53741016006949</v>
      </c>
      <c r="O79" s="62" t="n">
        <f aca="false">-Energia!$D$20*(1-(1-Supuestos!$D$146)^(9-1))*Supuestos!$D$153</f>
        <v>-1.75266960011173</v>
      </c>
      <c r="P79" s="62" t="n">
        <f aca="false">-Energia!$D$20*(1-(1-Supuestos!$D$146)^(10-1))*Supuestos!$D$153</f>
        <v>-1.96685274295375</v>
      </c>
      <c r="Q79" s="62" t="n">
        <f aca="false">-Energia!$D$20*(1-(1-Supuestos!$D$146)^(11-1))*Supuestos!$D$153</f>
        <v>-2.17996497008156</v>
      </c>
      <c r="R79" s="62" t="n">
        <f aca="false">-Energia!$D$20*(1-(1-Supuestos!$D$146)^(12-1))*Supuestos!$D$153</f>
        <v>-2.39201163607374</v>
      </c>
      <c r="S79" s="62" t="n">
        <f aca="false">-Energia!$D$20*(1-(1-Supuestos!$D$146)^(13-1))*Supuestos!$D$153</f>
        <v>-2.60299806873595</v>
      </c>
      <c r="T79" s="62" t="n">
        <f aca="false">-Energia!$D$20*(1-(1-Supuestos!$D$146)^(14-1))*Supuestos!$D$153</f>
        <v>-2.81292956923485</v>
      </c>
      <c r="U79" s="62" t="n">
        <f aca="false">-Energia!$D$20*(1-(1-Supuestos!$D$146)^(15-1))*Supuestos!$D$153</f>
        <v>-3.02181141223126</v>
      </c>
      <c r="V79" s="62" t="n">
        <f aca="false">-Energia!$D$20*(1-(1-Supuestos!$D$146)^(16-1))*Supuestos!$D$153</f>
        <v>-3.22964884601269</v>
      </c>
      <c r="W79" s="62" t="n">
        <f aca="false">-Energia!$D$20*(1-(1-Supuestos!$D$146)^(17-1))*Supuestos!$D$153</f>
        <v>-3.43644709262521</v>
      </c>
      <c r="X79" s="62" t="n">
        <f aca="false">-Energia!$D$20*(1-(1-Supuestos!$D$146)^(18-1))*Supuestos!$D$153</f>
        <v>-3.64221134800466</v>
      </c>
      <c r="Y79" s="62" t="n">
        <f aca="false">-Energia!$D$20*(1-(1-Supuestos!$D$146)^(19-1))*Supuestos!$D$153</f>
        <v>-3.84694678210722</v>
      </c>
      <c r="Z79" s="62" t="n">
        <f aca="false">-Energia!$D$20*(1-(1-Supuestos!$D$146)^(20-1))*Supuestos!$D$153</f>
        <v>-4.05065853903927</v>
      </c>
      <c r="AA79" s="62" t="n">
        <f aca="false">-Energia!$D$20*(1-(1-Supuestos!$D$146)^(21-1))*Supuestos!$D$153</f>
        <v>-4.25335173718665</v>
      </c>
      <c r="AB79" s="62" t="n">
        <f aca="false">-Energia!$D$20*(1-(1-Supuestos!$D$146)^(22-1))*Supuestos!$D$153</f>
        <v>-4.4550314693433</v>
      </c>
      <c r="AC79" s="62" t="n">
        <f aca="false">-Energia!$D$20*(1-(1-Supuestos!$D$146)^(23-1))*Supuestos!$D$153</f>
        <v>-4.65570280283916</v>
      </c>
      <c r="AD79" s="62" t="n">
        <f aca="false">-Energia!$D$20*(1-(1-Supuestos!$D$146)^(24-1))*Supuestos!$D$153</f>
        <v>-4.85537077966755</v>
      </c>
      <c r="AE79" s="62" t="n">
        <f aca="false">-Energia!$D$20*(1-(1-Supuestos!$D$146)^(25-1))*Supuestos!$D$153</f>
        <v>-5.05404041661179</v>
      </c>
      <c r="AF79" s="62" t="n">
        <f aca="false">-Energia!$D$20*(1-(1-Supuestos!$D$146)^(26-1))*Supuestos!$D$153</f>
        <v>-5.25171670537132</v>
      </c>
      <c r="AG79" s="62" t="n">
        <f aca="false">-Energia!$D$20*(1-(1-Supuestos!$D$146)^(27-1))*Supuestos!$D$153</f>
        <v>-5.44840461268704</v>
      </c>
      <c r="AH79" s="62" t="n">
        <f aca="false">-Energia!$D$20*(1-(1-Supuestos!$D$146)^(28-1))*Supuestos!$D$153</f>
        <v>-5.64410908046619</v>
      </c>
      <c r="AI79" s="62" t="n">
        <f aca="false">-Energia!$D$20*(1-(1-Supuestos!$D$146)^(29-1))*Supuestos!$D$153</f>
        <v>-5.83883502590644</v>
      </c>
      <c r="AJ79" s="62" t="n">
        <f aca="false">-Energia!$D$20*(1-(1-Supuestos!$D$146)^(30-1))*Supuestos!$D$153</f>
        <v>-6.03258734161949</v>
      </c>
    </row>
    <row r="80" customFormat="false" ht="15" hidden="false" customHeight="false" outlineLevel="0" collapsed="false">
      <c r="A80" s="14" t="s">
        <v>621</v>
      </c>
      <c r="B80" s="2"/>
      <c r="C80" s="63" t="n">
        <f aca="false">C77+C78+C79</f>
        <v>0</v>
      </c>
      <c r="D80" s="63" t="n">
        <f aca="false">D77+D78+D79</f>
        <v>0</v>
      </c>
      <c r="E80" s="63" t="n">
        <f aca="false">E77+E78+E79</f>
        <v>0</v>
      </c>
      <c r="F80" s="63" t="n">
        <f aca="false">F77+F78+F79</f>
        <v>0</v>
      </c>
      <c r="G80" s="63" t="n">
        <f aca="false">G77+G78+G79</f>
        <v>2078.37529794447</v>
      </c>
      <c r="H80" s="63" t="n">
        <f aca="false">H77+H78+H79</f>
        <v>2524.79609987641</v>
      </c>
      <c r="I80" s="63" t="n">
        <f aca="false">I77+I78+I79</f>
        <v>2747.89614232941</v>
      </c>
      <c r="J80" s="63" t="n">
        <f aca="false">J77+J78+J79</f>
        <v>2747.67541972981</v>
      </c>
      <c r="K80" s="63" t="n">
        <f aca="false">K77+K78+K79</f>
        <v>2747.45580074321</v>
      </c>
      <c r="L80" s="63" t="n">
        <f aca="false">L77+L78+L79</f>
        <v>2747.23727985155</v>
      </c>
      <c r="M80" s="63" t="n">
        <f aca="false">M77+M78+M79</f>
        <v>2747.01985156434</v>
      </c>
      <c r="N80" s="63" t="n">
        <f aca="false">N77+N78+N79</f>
        <v>2746.80351041857</v>
      </c>
      <c r="O80" s="63" t="n">
        <f aca="false">O77+O78+O79</f>
        <v>2746.58825097853</v>
      </c>
      <c r="P80" s="63" t="n">
        <f aca="false">P77+P78+P79</f>
        <v>2746.37406783569</v>
      </c>
      <c r="Q80" s="63" t="n">
        <f aca="false">Q77+Q78+Q79</f>
        <v>2746.16095560856</v>
      </c>
      <c r="R80" s="63" t="n">
        <f aca="false">R77+R78+R79</f>
        <v>2745.94890894257</v>
      </c>
      <c r="S80" s="63" t="n">
        <f aca="false">S77+S78+S79</f>
        <v>2745.7379225099</v>
      </c>
      <c r="T80" s="63" t="n">
        <f aca="false">T77+T78+T79</f>
        <v>2745.52799100941</v>
      </c>
      <c r="U80" s="63" t="n">
        <f aca="false">U77+U78+U79</f>
        <v>2745.31910916641</v>
      </c>
      <c r="V80" s="63" t="n">
        <f aca="false">V77+V78+V79</f>
        <v>2745.11127173263</v>
      </c>
      <c r="W80" s="63" t="n">
        <f aca="false">W77+W78+W79</f>
        <v>2744.90447348602</v>
      </c>
      <c r="X80" s="63" t="n">
        <f aca="false">X77+X78+X79</f>
        <v>2744.69870923064</v>
      </c>
      <c r="Y80" s="63" t="n">
        <f aca="false">Y77+Y78+Y79</f>
        <v>2744.49397379653</v>
      </c>
      <c r="Z80" s="63" t="n">
        <f aca="false">Z77+Z78+Z79</f>
        <v>2744.2902620396</v>
      </c>
      <c r="AA80" s="63" t="n">
        <f aca="false">AA77+AA78+AA79</f>
        <v>2744.08756884145</v>
      </c>
      <c r="AB80" s="63" t="n">
        <f aca="false">AB77+AB78+AB79</f>
        <v>2743.8858891093</v>
      </c>
      <c r="AC80" s="63" t="n">
        <f aca="false">AC77+AC78+AC79</f>
        <v>2743.6852177758</v>
      </c>
      <c r="AD80" s="63" t="n">
        <f aca="false">AD77+AD78+AD79</f>
        <v>2743.48554979897</v>
      </c>
      <c r="AE80" s="63" t="n">
        <f aca="false">AE77+AE78+AE79</f>
        <v>2743.28688016203</v>
      </c>
      <c r="AF80" s="63" t="n">
        <f aca="false">AF77+AF78+AF79</f>
        <v>2743.08920387327</v>
      </c>
      <c r="AG80" s="63" t="n">
        <f aca="false">AG77+AG78+AG79</f>
        <v>2742.89251596595</v>
      </c>
      <c r="AH80" s="63" t="n">
        <f aca="false">AH77+AH78+AH79</f>
        <v>2742.69681149817</v>
      </c>
      <c r="AI80" s="63" t="n">
        <f aca="false">AI77+AI78+AI79</f>
        <v>2742.50208555273</v>
      </c>
      <c r="AJ80" s="63" t="n">
        <f aca="false">AJ77+AJ78+AJ79</f>
        <v>2742.30833323702</v>
      </c>
    </row>
    <row r="81" customFormat="false" ht="15" hidden="false" customHeight="false" outlineLevel="0" collapsed="false">
      <c r="A81" s="6" t="s">
        <v>622</v>
      </c>
      <c r="B81" s="2"/>
      <c r="C81" s="62" t="n">
        <v>0</v>
      </c>
      <c r="D81" s="62" t="n">
        <v>0</v>
      </c>
      <c r="E81" s="62" t="n">
        <v>0</v>
      </c>
      <c r="F81" s="62" t="n">
        <v>0</v>
      </c>
      <c r="G81" s="62" t="n">
        <f aca="false">IF(1&lt;=1/Supuestos!$D$22,(Supuestos!$D$8-Supuestos!$D$12*Supuestos!$D$23)*Supuestos!$D$22,0)</f>
        <v>1746.45</v>
      </c>
      <c r="H81" s="62" t="n">
        <f aca="false">IF(2&lt;=1/Supuestos!$D$22,(Supuestos!$D$8-Supuestos!$D$12*Supuestos!$D$23)*Supuestos!$D$22,0)</f>
        <v>1746.45</v>
      </c>
      <c r="I81" s="62" t="n">
        <f aca="false">IF(3&lt;=1/Supuestos!$D$22,(Supuestos!$D$8-Supuestos!$D$12*Supuestos!$D$23)*Supuestos!$D$22,0)</f>
        <v>1746.45</v>
      </c>
      <c r="J81" s="62" t="n">
        <f aca="false">IF(4&lt;=1/Supuestos!$D$22,(Supuestos!$D$8-Supuestos!$D$12*Supuestos!$D$23)*Supuestos!$D$22,0)</f>
        <v>1746.45</v>
      </c>
      <c r="K81" s="62" t="n">
        <f aca="false">IF(5&lt;=1/Supuestos!$D$22,(Supuestos!$D$8-Supuestos!$D$12*Supuestos!$D$23)*Supuestos!$D$22,0)</f>
        <v>1746.45</v>
      </c>
      <c r="L81" s="62" t="n">
        <f aca="false">IF(6&lt;=1/Supuestos!$D$22,(Supuestos!$D$8-Supuestos!$D$12*Supuestos!$D$23)*Supuestos!$D$22,0)</f>
        <v>1746.45</v>
      </c>
      <c r="M81" s="62" t="n">
        <f aca="false">IF(7&lt;=1/Supuestos!$D$22,(Supuestos!$D$8-Supuestos!$D$12*Supuestos!$D$23)*Supuestos!$D$22,0)</f>
        <v>1746.45</v>
      </c>
      <c r="N81" s="62" t="n">
        <f aca="false">IF(8&lt;=1/Supuestos!$D$22,(Supuestos!$D$8-Supuestos!$D$12*Supuestos!$D$23)*Supuestos!$D$22,0)</f>
        <v>1746.45</v>
      </c>
      <c r="O81" s="62" t="n">
        <f aca="false">IF(9&lt;=1/Supuestos!$D$22,(Supuestos!$D$8-Supuestos!$D$12*Supuestos!$D$23)*Supuestos!$D$22,0)</f>
        <v>1746.45</v>
      </c>
      <c r="P81" s="62" t="n">
        <f aca="false">IF(10&lt;=1/Supuestos!$D$22,(Supuestos!$D$8-Supuestos!$D$12*Supuestos!$D$23)*Supuestos!$D$22,0)</f>
        <v>1746.45</v>
      </c>
      <c r="Q81" s="62" t="n">
        <f aca="false">IF(11&lt;=1/Supuestos!$D$22,(Supuestos!$D$8-Supuestos!$D$12*Supuestos!$D$23)*Supuestos!$D$22,0)</f>
        <v>1746.45</v>
      </c>
      <c r="R81" s="62" t="n">
        <f aca="false">IF(12&lt;=1/Supuestos!$D$22,(Supuestos!$D$8-Supuestos!$D$12*Supuestos!$D$23)*Supuestos!$D$22,0)</f>
        <v>1746.45</v>
      </c>
      <c r="S81" s="62" t="n">
        <f aca="false">IF(13&lt;=1/Supuestos!$D$22,(Supuestos!$D$8-Supuestos!$D$12*Supuestos!$D$23)*Supuestos!$D$22,0)</f>
        <v>1746.45</v>
      </c>
      <c r="T81" s="62" t="n">
        <f aca="false">IF(14&lt;=1/Supuestos!$D$22,(Supuestos!$D$8-Supuestos!$D$12*Supuestos!$D$23)*Supuestos!$D$22,0)</f>
        <v>1746.45</v>
      </c>
      <c r="U81" s="62" t="n">
        <f aca="false">IF(15&lt;=1/Supuestos!$D$22,(Supuestos!$D$8-Supuestos!$D$12*Supuestos!$D$23)*Supuestos!$D$22,0)</f>
        <v>1746.45</v>
      </c>
      <c r="V81" s="62" t="n">
        <f aca="false">IF(16&lt;=1/Supuestos!$D$22,(Supuestos!$D$8-Supuestos!$D$12*Supuestos!$D$23)*Supuestos!$D$22,0)</f>
        <v>1746.45</v>
      </c>
      <c r="W81" s="62" t="n">
        <f aca="false">IF(17&lt;=1/Supuestos!$D$22,(Supuestos!$D$8-Supuestos!$D$12*Supuestos!$D$23)*Supuestos!$D$22,0)</f>
        <v>1746.45</v>
      </c>
      <c r="X81" s="62" t="n">
        <f aca="false">IF(18&lt;=1/Supuestos!$D$22,(Supuestos!$D$8-Supuestos!$D$12*Supuestos!$D$23)*Supuestos!$D$22,0)</f>
        <v>1746.45</v>
      </c>
      <c r="Y81" s="62" t="n">
        <f aca="false">IF(19&lt;=1/Supuestos!$D$22,(Supuestos!$D$8-Supuestos!$D$12*Supuestos!$D$23)*Supuestos!$D$22,0)</f>
        <v>1746.45</v>
      </c>
      <c r="Z81" s="62" t="n">
        <f aca="false">IF(20&lt;=1/Supuestos!$D$22,(Supuestos!$D$8-Supuestos!$D$12*Supuestos!$D$23)*Supuestos!$D$22,0)</f>
        <v>1746.45</v>
      </c>
      <c r="AA81" s="62" t="n">
        <f aca="false">IF(21&lt;=1/Supuestos!$D$22,(Supuestos!$D$8-Supuestos!$D$12*Supuestos!$D$23)*Supuestos!$D$22,0)</f>
        <v>0</v>
      </c>
      <c r="AB81" s="62" t="n">
        <f aca="false">IF(22&lt;=1/Supuestos!$D$22,(Supuestos!$D$8-Supuestos!$D$12*Supuestos!$D$23)*Supuestos!$D$22,0)</f>
        <v>0</v>
      </c>
      <c r="AC81" s="62" t="n">
        <f aca="false">IF(23&lt;=1/Supuestos!$D$22,(Supuestos!$D$8-Supuestos!$D$12*Supuestos!$D$23)*Supuestos!$D$22,0)</f>
        <v>0</v>
      </c>
      <c r="AD81" s="62" t="n">
        <f aca="false">IF(24&lt;=1/Supuestos!$D$22,(Supuestos!$D$8-Supuestos!$D$12*Supuestos!$D$23)*Supuestos!$D$22,0)</f>
        <v>0</v>
      </c>
      <c r="AE81" s="62" t="n">
        <f aca="false">IF(25&lt;=1/Supuestos!$D$22,(Supuestos!$D$8-Supuestos!$D$12*Supuestos!$D$23)*Supuestos!$D$22,0)</f>
        <v>0</v>
      </c>
      <c r="AF81" s="62" t="n">
        <f aca="false">IF(26&lt;=1/Supuestos!$D$22,(Supuestos!$D$8-Supuestos!$D$12*Supuestos!$D$23)*Supuestos!$D$22,0)</f>
        <v>0</v>
      </c>
      <c r="AG81" s="62" t="n">
        <f aca="false">IF(27&lt;=1/Supuestos!$D$22,(Supuestos!$D$8-Supuestos!$D$12*Supuestos!$D$23)*Supuestos!$D$22,0)</f>
        <v>0</v>
      </c>
      <c r="AH81" s="62" t="n">
        <f aca="false">IF(28&lt;=1/Supuestos!$D$22,(Supuestos!$D$8-Supuestos!$D$12*Supuestos!$D$23)*Supuestos!$D$22,0)</f>
        <v>0</v>
      </c>
      <c r="AI81" s="62" t="n">
        <f aca="false">IF(29&lt;=1/Supuestos!$D$22,(Supuestos!$D$8-Supuestos!$D$12*Supuestos!$D$23)*Supuestos!$D$22,0)</f>
        <v>0</v>
      </c>
      <c r="AJ81" s="62" t="n">
        <f aca="false">IF(30&lt;=1/Supuestos!$D$22,(Supuestos!$D$8-Supuestos!$D$12*Supuestos!$D$23)*Supuestos!$D$22,0)</f>
        <v>0</v>
      </c>
    </row>
    <row r="82" customFormat="false" ht="15" hidden="false" customHeight="false" outlineLevel="0" collapsed="false">
      <c r="A82" s="6" t="s">
        <v>157</v>
      </c>
      <c r="B82" s="2"/>
      <c r="C82" s="62" t="n">
        <f aca="false">-MAX(0,C80-C81)*Supuestos!$D$21</f>
        <v>-0</v>
      </c>
      <c r="D82" s="62" t="n">
        <f aca="false">-MAX(0,D80-D81)*Supuestos!$D$21</f>
        <v>-0</v>
      </c>
      <c r="E82" s="62" t="n">
        <f aca="false">-MAX(0,E80-E81)*Supuestos!$D$21</f>
        <v>-0</v>
      </c>
      <c r="F82" s="62" t="n">
        <f aca="false">-MAX(0,F80-F81)*Supuestos!$D$21</f>
        <v>-0</v>
      </c>
      <c r="G82" s="62" t="n">
        <f aca="false">-MAX(0,G80-G81)*Supuestos!$D$21</f>
        <v>-99.5775893833423</v>
      </c>
      <c r="H82" s="62" t="n">
        <f aca="false">-MAX(0,H80-H81)*Supuestos!$D$21</f>
        <v>-233.503829962923</v>
      </c>
      <c r="I82" s="62" t="n">
        <f aca="false">-MAX(0,I80-I81)*Supuestos!$D$21</f>
        <v>-300.433842698823</v>
      </c>
      <c r="J82" s="62" t="n">
        <f aca="false">-MAX(0,J80-J81)*Supuestos!$D$21</f>
        <v>-300.367625918944</v>
      </c>
      <c r="K82" s="62" t="n">
        <f aca="false">-MAX(0,K80-K81)*Supuestos!$D$21</f>
        <v>-300.301740222964</v>
      </c>
      <c r="L82" s="62" t="n">
        <f aca="false">-MAX(0,L80-L81)*Supuestos!$D$21</f>
        <v>-300.236183955465</v>
      </c>
      <c r="M82" s="62" t="n">
        <f aca="false">-MAX(0,M80-M81)*Supuestos!$D$21</f>
        <v>-300.170955469303</v>
      </c>
      <c r="N82" s="62" t="n">
        <f aca="false">-MAX(0,N80-N81)*Supuestos!$D$21</f>
        <v>-300.106053125571</v>
      </c>
      <c r="O82" s="62" t="n">
        <f aca="false">-MAX(0,O80-O81)*Supuestos!$D$21</f>
        <v>-300.041475293558</v>
      </c>
      <c r="P82" s="62" t="n">
        <f aca="false">-MAX(0,P80-P81)*Supuestos!$D$21</f>
        <v>-299.977220350706</v>
      </c>
      <c r="Q82" s="62" t="n">
        <f aca="false">-MAX(0,Q80-Q81)*Supuestos!$D$21</f>
        <v>-299.913286682568</v>
      </c>
      <c r="R82" s="62" t="n">
        <f aca="false">-MAX(0,R80-R81)*Supuestos!$D$21</f>
        <v>-299.84967268277</v>
      </c>
      <c r="S82" s="62" t="n">
        <f aca="false">-MAX(0,S80-S81)*Supuestos!$D$21</f>
        <v>-299.786376752971</v>
      </c>
      <c r="T82" s="62" t="n">
        <f aca="false">-MAX(0,T80-T81)*Supuestos!$D$21</f>
        <v>-299.723397302822</v>
      </c>
      <c r="U82" s="62" t="n">
        <f aca="false">-MAX(0,U80-U81)*Supuestos!$D$21</f>
        <v>-299.660732749923</v>
      </c>
      <c r="V82" s="62" t="n">
        <f aca="false">-MAX(0,V80-V81)*Supuestos!$D$21</f>
        <v>-299.598381519788</v>
      </c>
      <c r="W82" s="62" t="n">
        <f aca="false">-MAX(0,W80-W81)*Supuestos!$D$21</f>
        <v>-299.536342045805</v>
      </c>
      <c r="X82" s="62" t="n">
        <f aca="false">-MAX(0,X80-X81)*Supuestos!$D$21</f>
        <v>-299.474612769191</v>
      </c>
      <c r="Y82" s="62" t="n">
        <f aca="false">-MAX(0,Y80-Y81)*Supuestos!$D$21</f>
        <v>-299.41319213896</v>
      </c>
      <c r="Z82" s="62" t="n">
        <f aca="false">-MAX(0,Z80-Z81)*Supuestos!$D$21</f>
        <v>-299.35207861188</v>
      </c>
      <c r="AA82" s="62" t="n">
        <f aca="false">-MAX(0,AA80-AA81)*Supuestos!$D$21</f>
        <v>-823.226270652436</v>
      </c>
      <c r="AB82" s="62" t="n">
        <f aca="false">-MAX(0,AB80-AB81)*Supuestos!$D$21</f>
        <v>-823.165766732789</v>
      </c>
      <c r="AC82" s="62" t="n">
        <f aca="false">-MAX(0,AC80-AC81)*Supuestos!$D$21</f>
        <v>-823.10556533274</v>
      </c>
      <c r="AD82" s="62" t="n">
        <f aca="false">-MAX(0,AD80-AD81)*Supuestos!$D$21</f>
        <v>-823.045664939692</v>
      </c>
      <c r="AE82" s="62" t="n">
        <f aca="false">-MAX(0,AE80-AE81)*Supuestos!$D$21</f>
        <v>-822.986064048609</v>
      </c>
      <c r="AF82" s="62" t="n">
        <f aca="false">-MAX(0,AF80-AF81)*Supuestos!$D$21</f>
        <v>-822.926761161981</v>
      </c>
      <c r="AG82" s="62" t="n">
        <f aca="false">-MAX(0,AG80-AG81)*Supuestos!$D$21</f>
        <v>-822.867754789786</v>
      </c>
      <c r="AH82" s="62" t="n">
        <f aca="false">-MAX(0,AH80-AH81)*Supuestos!$D$21</f>
        <v>-822.809043449452</v>
      </c>
      <c r="AI82" s="62" t="n">
        <f aca="false">-MAX(0,AI80-AI81)*Supuestos!$D$21</f>
        <v>-822.75062566582</v>
      </c>
      <c r="AJ82" s="62" t="n">
        <f aca="false">-MAX(0,AJ80-AJ81)*Supuestos!$D$21</f>
        <v>-822.692499971106</v>
      </c>
    </row>
    <row r="83" customFormat="false" ht="15" hidden="false" customHeight="false" outlineLevel="0" collapsed="false">
      <c r="A83" s="6" t="s">
        <v>623</v>
      </c>
      <c r="B83" s="2"/>
      <c r="C83" s="62" t="n">
        <f aca="false">C76+C80</f>
        <v>-7045.8</v>
      </c>
      <c r="D83" s="62" t="n">
        <f aca="false">D76+D80</f>
        <v>-10568.7</v>
      </c>
      <c r="E83" s="62" t="n">
        <f aca="false">E76+E80</f>
        <v>-10568.7</v>
      </c>
      <c r="F83" s="62" t="n">
        <f aca="false">F76+F80</f>
        <v>-7045.8</v>
      </c>
      <c r="G83" s="62" t="n">
        <f aca="false">G76+G80</f>
        <v>2078.37529794447</v>
      </c>
      <c r="H83" s="62" t="n">
        <f aca="false">H76+H80</f>
        <v>2524.79609987641</v>
      </c>
      <c r="I83" s="62" t="n">
        <f aca="false">I76+I80</f>
        <v>2747.89614232941</v>
      </c>
      <c r="J83" s="62" t="n">
        <f aca="false">J76+J80</f>
        <v>2747.67541972981</v>
      </c>
      <c r="K83" s="62" t="n">
        <f aca="false">K76+K80</f>
        <v>2747.45580074321</v>
      </c>
      <c r="L83" s="62" t="n">
        <f aca="false">L76+L80</f>
        <v>2747.23727985155</v>
      </c>
      <c r="M83" s="62" t="n">
        <f aca="false">M76+M80</f>
        <v>2747.01985156434</v>
      </c>
      <c r="N83" s="62" t="n">
        <f aca="false">N76+N80</f>
        <v>2746.80351041857</v>
      </c>
      <c r="O83" s="62" t="n">
        <f aca="false">O76+O80</f>
        <v>2746.58825097853</v>
      </c>
      <c r="P83" s="62" t="n">
        <f aca="false">P76+P80</f>
        <v>2746.37406783569</v>
      </c>
      <c r="Q83" s="62" t="n">
        <f aca="false">Q76+Q80</f>
        <v>2746.16095560856</v>
      </c>
      <c r="R83" s="62" t="n">
        <f aca="false">R76+R80</f>
        <v>2745.94890894257</v>
      </c>
      <c r="S83" s="62" t="n">
        <f aca="false">S76+S80</f>
        <v>2745.7379225099</v>
      </c>
      <c r="T83" s="62" t="n">
        <f aca="false">T76+T80</f>
        <v>2745.52799100941</v>
      </c>
      <c r="U83" s="62" t="n">
        <f aca="false">U76+U80</f>
        <v>2745.31910916641</v>
      </c>
      <c r="V83" s="62" t="n">
        <f aca="false">V76+V80</f>
        <v>2745.11127173263</v>
      </c>
      <c r="W83" s="62" t="n">
        <f aca="false">W76+W80</f>
        <v>2744.90447348602</v>
      </c>
      <c r="X83" s="62" t="n">
        <f aca="false">X76+X80</f>
        <v>2744.69870923064</v>
      </c>
      <c r="Y83" s="62" t="n">
        <f aca="false">Y76+Y80</f>
        <v>2744.49397379653</v>
      </c>
      <c r="Z83" s="62" t="n">
        <f aca="false">Z76+Z80</f>
        <v>2744.2902620396</v>
      </c>
      <c r="AA83" s="62" t="n">
        <f aca="false">AA76+AA80</f>
        <v>2744.08756884145</v>
      </c>
      <c r="AB83" s="62" t="n">
        <f aca="false">AB76+AB80</f>
        <v>2743.8858891093</v>
      </c>
      <c r="AC83" s="62" t="n">
        <f aca="false">AC76+AC80</f>
        <v>2743.6852177758</v>
      </c>
      <c r="AD83" s="62" t="n">
        <f aca="false">AD76+AD80</f>
        <v>2743.48554979897</v>
      </c>
      <c r="AE83" s="62" t="n">
        <f aca="false">AE76+AE80</f>
        <v>2743.28688016203</v>
      </c>
      <c r="AF83" s="62" t="n">
        <f aca="false">AF76+AF80</f>
        <v>2743.08920387327</v>
      </c>
      <c r="AG83" s="62" t="n">
        <f aca="false">AG76+AG80</f>
        <v>2742.89251596595</v>
      </c>
      <c r="AH83" s="62" t="n">
        <f aca="false">AH76+AH80</f>
        <v>2742.69681149817</v>
      </c>
      <c r="AI83" s="62" t="n">
        <f aca="false">AI76+AI80</f>
        <v>2742.50208555273</v>
      </c>
      <c r="AJ83" s="62" t="n">
        <f aca="false">AJ76+AJ80</f>
        <v>2742.30833323702</v>
      </c>
    </row>
    <row r="84" customFormat="false" ht="15" hidden="false" customHeight="false" outlineLevel="0" collapsed="false">
      <c r="A84" s="14" t="s">
        <v>624</v>
      </c>
      <c r="B84" s="2"/>
      <c r="C84" s="63" t="n">
        <f aca="false">C83+C82</f>
        <v>-7045.8</v>
      </c>
      <c r="D84" s="63" t="n">
        <f aca="false">D83+D82</f>
        <v>-10568.7</v>
      </c>
      <c r="E84" s="63" t="n">
        <f aca="false">E83+E82</f>
        <v>-10568.7</v>
      </c>
      <c r="F84" s="63" t="n">
        <f aca="false">F83+F82</f>
        <v>-7045.8</v>
      </c>
      <c r="G84" s="63" t="n">
        <f aca="false">G83+G82</f>
        <v>1978.79770856113</v>
      </c>
      <c r="H84" s="63" t="n">
        <f aca="false">H83+H82</f>
        <v>2291.29226991349</v>
      </c>
      <c r="I84" s="63" t="n">
        <f aca="false">I83+I82</f>
        <v>2447.46229963059</v>
      </c>
      <c r="J84" s="63" t="n">
        <f aca="false">J83+J82</f>
        <v>2447.30779381087</v>
      </c>
      <c r="K84" s="63" t="n">
        <f aca="false">K83+K82</f>
        <v>2447.15406052025</v>
      </c>
      <c r="L84" s="63" t="n">
        <f aca="false">L83+L82</f>
        <v>2447.00109589608</v>
      </c>
      <c r="M84" s="63" t="n">
        <f aca="false">M83+M82</f>
        <v>2446.84889609504</v>
      </c>
      <c r="N84" s="63" t="n">
        <f aca="false">N83+N82</f>
        <v>2446.697457293</v>
      </c>
      <c r="O84" s="63" t="n">
        <f aca="false">O83+O82</f>
        <v>2446.54677568497</v>
      </c>
      <c r="P84" s="63" t="n">
        <f aca="false">P83+P82</f>
        <v>2446.39684748498</v>
      </c>
      <c r="Q84" s="63" t="n">
        <f aca="false">Q83+Q82</f>
        <v>2446.24766892599</v>
      </c>
      <c r="R84" s="63" t="n">
        <f aca="false">R83+R82</f>
        <v>2446.0992362598</v>
      </c>
      <c r="S84" s="63" t="n">
        <f aca="false">S83+S82</f>
        <v>2445.95154575693</v>
      </c>
      <c r="T84" s="63" t="n">
        <f aca="false">T83+T82</f>
        <v>2445.80459370658</v>
      </c>
      <c r="U84" s="63" t="n">
        <f aca="false">U83+U82</f>
        <v>2445.65837641649</v>
      </c>
      <c r="V84" s="63" t="n">
        <f aca="false">V83+V82</f>
        <v>2445.51289021284</v>
      </c>
      <c r="W84" s="63" t="n">
        <f aca="false">W83+W82</f>
        <v>2445.36813144021</v>
      </c>
      <c r="X84" s="63" t="n">
        <f aca="false">X83+X82</f>
        <v>2445.22409646145</v>
      </c>
      <c r="Y84" s="63" t="n">
        <f aca="false">Y83+Y82</f>
        <v>2445.08078165757</v>
      </c>
      <c r="Z84" s="63" t="n">
        <f aca="false">Z83+Z82</f>
        <v>2444.93818342772</v>
      </c>
      <c r="AA84" s="63" t="n">
        <f aca="false">AA83+AA82</f>
        <v>1920.86129818902</v>
      </c>
      <c r="AB84" s="63" t="n">
        <f aca="false">AB83+AB82</f>
        <v>1920.72012237651</v>
      </c>
      <c r="AC84" s="63" t="n">
        <f aca="false">AC83+AC82</f>
        <v>1920.57965244306</v>
      </c>
      <c r="AD84" s="63" t="n">
        <f aca="false">AD83+AD82</f>
        <v>1920.43988485928</v>
      </c>
      <c r="AE84" s="63" t="n">
        <f aca="false">AE83+AE82</f>
        <v>1920.30081611342</v>
      </c>
      <c r="AF84" s="63" t="n">
        <f aca="false">AF83+AF82</f>
        <v>1920.16244271129</v>
      </c>
      <c r="AG84" s="63" t="n">
        <f aca="false">AG83+AG82</f>
        <v>1920.02476117617</v>
      </c>
      <c r="AH84" s="63" t="n">
        <f aca="false">AH83+AH82</f>
        <v>1919.88776804872</v>
      </c>
      <c r="AI84" s="63" t="n">
        <f aca="false">AI83+AI82</f>
        <v>1919.75145988691</v>
      </c>
      <c r="AJ84" s="63" t="n">
        <f aca="false">AJ83+AJ82</f>
        <v>1919.61583326591</v>
      </c>
    </row>
    <row r="85" customFormat="false" ht="15" hidden="false" customHeight="false" outlineLevel="0" collapsed="false">
      <c r="A85" s="14" t="s">
        <v>625</v>
      </c>
      <c r="B85" s="2"/>
      <c r="C85" s="63" t="n">
        <f aca="false">C84</f>
        <v>-7045.8</v>
      </c>
      <c r="D85" s="63" t="n">
        <f aca="false">C85+D84</f>
        <v>-17614.5</v>
      </c>
      <c r="E85" s="63" t="n">
        <f aca="false">D85+E84</f>
        <v>-28183.2</v>
      </c>
      <c r="F85" s="63" t="n">
        <f aca="false">E85+F84</f>
        <v>-35229</v>
      </c>
      <c r="G85" s="63" t="n">
        <f aca="false">F85+G84</f>
        <v>-33250.2022914389</v>
      </c>
      <c r="H85" s="63" t="n">
        <f aca="false">G85+H84</f>
        <v>-30958.9100215254</v>
      </c>
      <c r="I85" s="63" t="n">
        <f aca="false">H85+I84</f>
        <v>-28511.4477218948</v>
      </c>
      <c r="J85" s="63" t="n">
        <f aca="false">I85+J84</f>
        <v>-26064.1399280839</v>
      </c>
      <c r="K85" s="63" t="n">
        <f aca="false">J85+K84</f>
        <v>-23616.9858675637</v>
      </c>
      <c r="L85" s="63" t="n">
        <f aca="false">K85+L84</f>
        <v>-21169.9847716676</v>
      </c>
      <c r="M85" s="63" t="n">
        <f aca="false">L85+M84</f>
        <v>-18723.1358755726</v>
      </c>
      <c r="N85" s="63" t="n">
        <f aca="false">M85+N84</f>
        <v>-16276.4384182796</v>
      </c>
      <c r="O85" s="63" t="n">
        <f aca="false">N85+O84</f>
        <v>-13829.8916425946</v>
      </c>
      <c r="P85" s="63" t="n">
        <f aca="false">O85+P84</f>
        <v>-11383.4947951096</v>
      </c>
      <c r="Q85" s="63" t="n">
        <f aca="false">P85+Q84</f>
        <v>-8937.24712618361</v>
      </c>
      <c r="R85" s="63" t="n">
        <f aca="false">Q85+R84</f>
        <v>-6491.14788992381</v>
      </c>
      <c r="S85" s="63" t="n">
        <f aca="false">R85+S84</f>
        <v>-4045.19634416688</v>
      </c>
      <c r="T85" s="63" t="n">
        <f aca="false">S85+T84</f>
        <v>-1599.3917504603</v>
      </c>
      <c r="U85" s="63" t="n">
        <f aca="false">T85+U84</f>
        <v>846.26662595619</v>
      </c>
      <c r="V85" s="63" t="n">
        <f aca="false">U85+V84</f>
        <v>3291.77951616903</v>
      </c>
      <c r="W85" s="63" t="n">
        <f aca="false">V85+W84</f>
        <v>5737.14764760924</v>
      </c>
      <c r="X85" s="63" t="n">
        <f aca="false">W85+X84</f>
        <v>8182.37174407068</v>
      </c>
      <c r="Y85" s="63" t="n">
        <f aca="false">X85+Y84</f>
        <v>10627.4525257283</v>
      </c>
      <c r="Z85" s="63" t="n">
        <f aca="false">Y85+Z84</f>
        <v>13072.390709156</v>
      </c>
      <c r="AA85" s="63" t="n">
        <f aca="false">Z85+AA84</f>
        <v>14993.252007345</v>
      </c>
      <c r="AB85" s="63" t="n">
        <f aca="false">AA85+AB84</f>
        <v>16913.9721297215</v>
      </c>
      <c r="AC85" s="63" t="n">
        <f aca="false">AB85+AC84</f>
        <v>18834.5517821646</v>
      </c>
      <c r="AD85" s="63" t="n">
        <f aca="false">AC85+AD84</f>
        <v>20754.9916670238</v>
      </c>
      <c r="AE85" s="63" t="n">
        <f aca="false">AD85+AE84</f>
        <v>22675.2924831373</v>
      </c>
      <c r="AF85" s="63" t="n">
        <f aca="false">AE85+AF84</f>
        <v>24595.4549258486</v>
      </c>
      <c r="AG85" s="63" t="n">
        <f aca="false">AF85+AG84</f>
        <v>26515.4796870247</v>
      </c>
      <c r="AH85" s="63" t="n">
        <f aca="false">AG85+AH84</f>
        <v>28435.3674550734</v>
      </c>
      <c r="AI85" s="63" t="n">
        <f aca="false">AH85+AI84</f>
        <v>30355.1189149604</v>
      </c>
      <c r="AJ85" s="63" t="n">
        <f aca="false">AI85+AJ84</f>
        <v>32274.7347482263</v>
      </c>
    </row>
    <row r="86" customFormat="false" ht="15" hidden="false" customHeight="false" outlineLevel="0" collapsed="false">
      <c r="A86" s="6" t="s">
        <v>626</v>
      </c>
      <c r="B86" s="2"/>
      <c r="C86" s="62" t="n">
        <f aca="false">C84/(1+Supuestos!$D$20)^0</f>
        <v>-7045.8</v>
      </c>
      <c r="D86" s="62" t="n">
        <f aca="false">D84/(1+Supuestos!$D$20)^1</f>
        <v>-9785.83333333333</v>
      </c>
      <c r="E86" s="62" t="n">
        <f aca="false">E84/(1+Supuestos!$D$20)^2</f>
        <v>-9060.95679012346</v>
      </c>
      <c r="F86" s="62" t="n">
        <f aca="false">F84/(1+Supuestos!$D$20)^3</f>
        <v>-5593.18320377991</v>
      </c>
      <c r="G86" s="62" t="n">
        <f aca="false">G84/(1+Supuestos!$D$20)^4</f>
        <v>1454.47538843765</v>
      </c>
      <c r="H86" s="62" t="n">
        <f aca="false">H84/(1+Supuestos!$D$20)^5</f>
        <v>1559.41501839645</v>
      </c>
      <c r="I86" s="62" t="n">
        <f aca="false">I84/(1+Supuestos!$D$20)^6</f>
        <v>1542.31640416867</v>
      </c>
      <c r="J86" s="62" t="n">
        <f aca="false">J84/(1+Supuestos!$D$20)^7</f>
        <v>1427.9805919388</v>
      </c>
      <c r="K86" s="62" t="n">
        <f aca="false">K84/(1+Supuestos!$D$20)^8</f>
        <v>1322.12119448176</v>
      </c>
      <c r="L86" s="62" t="n">
        <f aca="false">L84/(1+Supuestos!$D$20)^9</f>
        <v>1224.10977079156</v>
      </c>
      <c r="M86" s="62" t="n">
        <f aca="false">M84/(1+Supuestos!$D$20)^10</f>
        <v>1133.36447499842</v>
      </c>
      <c r="N86" s="62" t="n">
        <f aca="false">N84/(1+Supuestos!$D$20)^11</f>
        <v>1049.34660141803</v>
      </c>
      <c r="O86" s="62" t="n">
        <f aca="false">O84/(1+Supuestos!$D$20)^12</f>
        <v>971.557385795489</v>
      </c>
      <c r="P86" s="62" t="n">
        <f aca="false">P84/(1+Supuestos!$D$20)^13</f>
        <v>899.535043744874</v>
      </c>
      <c r="Q86" s="62" t="n">
        <f aca="false">Q84/(1+Supuestos!$D$20)^14</f>
        <v>832.852028794748</v>
      </c>
      <c r="R86" s="62" t="n">
        <f aca="false">R84/(1+Supuestos!$D$20)^15</f>
        <v>771.1124937543</v>
      </c>
      <c r="S86" s="62" t="n">
        <f aca="false">S84/(1+Supuestos!$D$20)^16</f>
        <v>713.949940322564</v>
      </c>
      <c r="T86" s="62" t="n">
        <f aca="false">T84/(1+Supuestos!$D$20)^17</f>
        <v>661.025042981369</v>
      </c>
      <c r="U86" s="62" t="n">
        <f aca="false">U84/(1+Supuestos!$D$20)^18</f>
        <v>612.023634247862</v>
      </c>
      <c r="V86" s="62" t="n">
        <f aca="false">V84/(1+Supuestos!$D$20)^19</f>
        <v>566.654839320972</v>
      </c>
      <c r="W86" s="62" t="n">
        <f aca="false">W84/(1+Supuestos!$D$20)^20</f>
        <v>524.649349043504</v>
      </c>
      <c r="X86" s="62" t="n">
        <f aca="false">X84/(1+Supuestos!$D$20)^21</f>
        <v>485.757820923154</v>
      </c>
      <c r="Y86" s="62" t="n">
        <f aca="false">Y84/(1+Supuestos!$D$20)^22</f>
        <v>449.749398716342</v>
      </c>
      <c r="Z86" s="62" t="n">
        <f aca="false">Z84/(1+Supuestos!$D$20)^23</f>
        <v>416.410341783001</v>
      </c>
      <c r="AA86" s="62" t="n">
        <f aca="false">AA84/(1+Supuestos!$D$20)^24</f>
        <v>302.918553781048</v>
      </c>
      <c r="AB86" s="62" t="n">
        <f aca="false">AB84/(1+Supuestos!$D$20)^25</f>
        <v>280.459528193492</v>
      </c>
      <c r="AC86" s="62" t="n">
        <f aca="false">AC84/(1+Supuestos!$D$20)^26</f>
        <v>259.665756544544</v>
      </c>
      <c r="AD86" s="62" t="n">
        <f aca="false">AD84/(1+Supuestos!$D$20)^27</f>
        <v>240.413759000642</v>
      </c>
      <c r="AE86" s="62" t="n">
        <f aca="false">AE84/(1+Supuestos!$D$20)^28</f>
        <v>222.589212432238</v>
      </c>
      <c r="AF86" s="62" t="n">
        <f aca="false">AF84/(1+Supuestos!$D$20)^29</f>
        <v>206.086271348475</v>
      </c>
      <c r="AG86" s="62" t="n">
        <f aca="false">AG84/(1+Supuestos!$D$20)^30</f>
        <v>190.806939195257</v>
      </c>
      <c r="AH86" s="62" t="n">
        <f aca="false">AH84/(1+Supuestos!$D$20)^31</f>
        <v>176.660486281179</v>
      </c>
      <c r="AI86" s="62" t="n">
        <f aca="false">AI84/(1+Supuestos!$D$20)^32</f>
        <v>163.562910872898</v>
      </c>
      <c r="AJ86" s="62" t="n">
        <f aca="false">AJ84/(1+Supuestos!$D$20)^33</f>
        <v>151.436440258036</v>
      </c>
    </row>
    <row r="87" customFormat="false" ht="15" hidden="false" customHeight="false" outlineLevel="0" collapsed="false">
      <c r="A87" s="6" t="s">
        <v>627</v>
      </c>
      <c r="B87" s="2"/>
      <c r="C87" s="62" t="n">
        <f aca="false">C86</f>
        <v>-7045.8</v>
      </c>
      <c r="D87" s="62" t="n">
        <f aca="false">C87+D86</f>
        <v>-16831.6333333333</v>
      </c>
      <c r="E87" s="62" t="n">
        <f aca="false">D87+E86</f>
        <v>-25892.5901234568</v>
      </c>
      <c r="F87" s="62" t="n">
        <f aca="false">E87+F86</f>
        <v>-31485.7733272367</v>
      </c>
      <c r="G87" s="62" t="n">
        <f aca="false">F87+G86</f>
        <v>-30031.2979387991</v>
      </c>
      <c r="H87" s="62" t="n">
        <f aca="false">G87+H86</f>
        <v>-28471.8829204026</v>
      </c>
      <c r="I87" s="62" t="n">
        <f aca="false">H87+I86</f>
        <v>-26929.5665162339</v>
      </c>
      <c r="J87" s="62" t="n">
        <f aca="false">I87+J86</f>
        <v>-25501.5859242951</v>
      </c>
      <c r="K87" s="62" t="n">
        <f aca="false">J87+K86</f>
        <v>-24179.4647298134</v>
      </c>
      <c r="L87" s="62" t="n">
        <f aca="false">K87+L86</f>
        <v>-22955.3549590218</v>
      </c>
      <c r="M87" s="62" t="n">
        <f aca="false">L87+M86</f>
        <v>-21821.9904840234</v>
      </c>
      <c r="N87" s="62" t="n">
        <f aca="false">M87+N86</f>
        <v>-20772.6438826054</v>
      </c>
      <c r="O87" s="62" t="n">
        <f aca="false">N87+O86</f>
        <v>-19801.0864968099</v>
      </c>
      <c r="P87" s="62" t="n">
        <f aca="false">O87+P86</f>
        <v>-18901.551453065</v>
      </c>
      <c r="Q87" s="62" t="n">
        <f aca="false">P87+Q86</f>
        <v>-18068.6994242703</v>
      </c>
      <c r="R87" s="62" t="n">
        <f aca="false">Q87+R86</f>
        <v>-17297.586930516</v>
      </c>
      <c r="S87" s="62" t="n">
        <f aca="false">R87+S86</f>
        <v>-16583.6369901934</v>
      </c>
      <c r="T87" s="62" t="n">
        <f aca="false">S87+T86</f>
        <v>-15922.611947212</v>
      </c>
      <c r="U87" s="62" t="n">
        <f aca="false">T87+U86</f>
        <v>-15310.5883129642</v>
      </c>
      <c r="V87" s="62" t="n">
        <f aca="false">U87+V86</f>
        <v>-14743.9334736432</v>
      </c>
      <c r="W87" s="62" t="n">
        <f aca="false">V87+W86</f>
        <v>-14219.2841245997</v>
      </c>
      <c r="X87" s="62" t="n">
        <f aca="false">W87+X86</f>
        <v>-13733.5263036765</v>
      </c>
      <c r="Y87" s="62" t="n">
        <f aca="false">X87+Y86</f>
        <v>-13283.7769049602</v>
      </c>
      <c r="Z87" s="62" t="n">
        <f aca="false">Y87+Z86</f>
        <v>-12867.3665631772</v>
      </c>
      <c r="AA87" s="62" t="n">
        <f aca="false">Z87+AA86</f>
        <v>-12564.4480093961</v>
      </c>
      <c r="AB87" s="62" t="n">
        <f aca="false">AA87+AB86</f>
        <v>-12283.9884812026</v>
      </c>
      <c r="AC87" s="62" t="n">
        <f aca="false">AB87+AC86</f>
        <v>-12024.3227246581</v>
      </c>
      <c r="AD87" s="62" t="n">
        <f aca="false">AC87+AD86</f>
        <v>-11783.9089656575</v>
      </c>
      <c r="AE87" s="62" t="n">
        <f aca="false">AD87+AE86</f>
        <v>-11561.3197532252</v>
      </c>
      <c r="AF87" s="62" t="n">
        <f aca="false">AE87+AF86</f>
        <v>-11355.2334818767</v>
      </c>
      <c r="AG87" s="62" t="n">
        <f aca="false">AF87+AG86</f>
        <v>-11164.4265426815</v>
      </c>
      <c r="AH87" s="62" t="n">
        <f aca="false">AG87+AH86</f>
        <v>-10987.7660564003</v>
      </c>
      <c r="AI87" s="62" t="n">
        <f aca="false">AH87+AI86</f>
        <v>-10824.2031455274</v>
      </c>
      <c r="AJ87" s="62" t="n">
        <f aca="false">AI87+AJ86</f>
        <v>-10672.7667052694</v>
      </c>
    </row>
    <row r="88" customFormat="false" ht="15" hidden="false" customHeight="false" outlineLevel="0" collapsed="false">
      <c r="A88" s="14" t="s">
        <v>30</v>
      </c>
      <c r="B88" s="26" t="n">
        <f aca="false">SUM(C86:AJ86)</f>
        <v>-10672.7667052694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customFormat="false" ht="15" hidden="false" customHeight="false" outlineLevel="0" collapsed="false">
      <c r="A89" s="14" t="s">
        <v>28</v>
      </c>
      <c r="B89" s="64" t="n">
        <f aca="false">IFERROR(IRR(C83:AJ83,0.02),IFERROR(IRR(C83:AJ83,-0.05),"negativa"))</f>
        <v>0.0567206280185257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 customFormat="false" ht="15" hidden="false" customHeight="false" outlineLevel="0" collapsed="false">
      <c r="A90" s="14" t="s">
        <v>29</v>
      </c>
      <c r="B90" s="64" t="n">
        <f aca="false">IFERROR(IRR(C84:AJ84,0.02),IFERROR(IRR(C84:AJ84,-0.05),"negativa"))</f>
        <v>0.0447128360358754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 customFormat="false" ht="15" hidden="false" customHeight="false" outlineLevel="0" collapsed="false">
      <c r="A91" s="14" t="s">
        <v>628</v>
      </c>
      <c r="B91" s="65" t="n">
        <f aca="false">IF(COUNTIF(G85:AJ85,"&lt;0")&gt;=30,"más de 30",COUNTIF(G85:AJ85,"&lt;0")+1)</f>
        <v>15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customFormat="false" ht="15" hidden="false" customHeight="false" outlineLevel="0" collapsed="false">
      <c r="A92" s="14" t="s">
        <v>629</v>
      </c>
      <c r="B92" s="65" t="str">
        <f aca="false">IF(COUNTIF(G87:AJ87,"&lt;0")&gt;=30,"más de 30",COUNTIF(G87:AJ87,"&lt;0")+1)</f>
        <v>más de 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customFormat="false" ht="15" hidden="false" customHeight="false" outlineLevel="0" collapsed="false">
      <c r="A93" s="14" t="s">
        <v>630</v>
      </c>
      <c r="B93" s="26" t="n">
        <f aca="false">AJ85</f>
        <v>32274.7347482263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5" min="3" style="0" width="15"/>
    <col collapsed="false" customWidth="true" hidden="false" outlineLevel="0" max="6" min="6" style="0" width="62"/>
  </cols>
  <sheetData>
    <row r="1" customFormat="false" ht="18.55" hidden="false" customHeight="false" outlineLevel="0" collapsed="false">
      <c r="A1" s="36" t="s">
        <v>634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635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7" t="s">
        <v>130</v>
      </c>
      <c r="B4" s="37" t="s">
        <v>3</v>
      </c>
      <c r="C4" s="38" t="s">
        <v>4</v>
      </c>
      <c r="D4" s="38" t="s">
        <v>5</v>
      </c>
      <c r="E4" s="38" t="s">
        <v>6</v>
      </c>
      <c r="F4" s="37" t="s">
        <v>131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39" t="s">
        <v>636</v>
      </c>
      <c r="B6" s="40"/>
      <c r="C6" s="40"/>
      <c r="D6" s="40"/>
      <c r="E6" s="40"/>
      <c r="F6" s="40"/>
    </row>
    <row r="7" customFormat="false" ht="15" hidden="false" customHeight="false" outlineLevel="0" collapsed="false">
      <c r="A7" s="6" t="s">
        <v>637</v>
      </c>
      <c r="B7" s="7" t="s">
        <v>250</v>
      </c>
      <c r="C7" s="8" t="n">
        <f aca="false">Eventos!$C$64</f>
        <v>2195000</v>
      </c>
      <c r="D7" s="8" t="n">
        <f aca="false">Eventos!$D$64</f>
        <v>3742000</v>
      </c>
      <c r="E7" s="8" t="n">
        <f aca="false">Eventos!$E$64</f>
        <v>5805000</v>
      </c>
      <c r="F7" s="2"/>
    </row>
    <row r="8" customFormat="false" ht="15" hidden="false" customHeight="false" outlineLevel="0" collapsed="false">
      <c r="A8" s="6" t="s">
        <v>415</v>
      </c>
      <c r="B8" s="7" t="s">
        <v>250</v>
      </c>
      <c r="C8" s="12" t="n">
        <f aca="false">Supuestos!$C$202*365</f>
        <v>12775000</v>
      </c>
      <c r="D8" s="12" t="n">
        <f aca="false">Supuestos!$D$202*365</f>
        <v>16425000</v>
      </c>
      <c r="E8" s="12" t="n">
        <f aca="false">Supuestos!$E$202*365</f>
        <v>20075000</v>
      </c>
      <c r="F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</row>
    <row r="10" customFormat="false" ht="15" hidden="false" customHeight="false" outlineLevel="0" collapsed="false">
      <c r="A10" s="39" t="s">
        <v>638</v>
      </c>
      <c r="B10" s="40"/>
      <c r="C10" s="40"/>
      <c r="D10" s="40"/>
      <c r="E10" s="40"/>
      <c r="F10" s="40"/>
    </row>
    <row r="11" customFormat="false" ht="15" hidden="false" customHeight="false" outlineLevel="0" collapsed="false">
      <c r="A11" s="6" t="s">
        <v>639</v>
      </c>
      <c r="B11" s="7" t="s">
        <v>16</v>
      </c>
      <c r="C11" s="8" t="n">
        <f aca="false">Eventos!$C$66</f>
        <v>1976.5</v>
      </c>
      <c r="D11" s="8" t="n">
        <f aca="false">Eventos!$D$66</f>
        <v>4563.6</v>
      </c>
      <c r="E11" s="8" t="n">
        <f aca="false">Eventos!$E$66</f>
        <v>8948</v>
      </c>
      <c r="F11" s="2"/>
    </row>
    <row r="12" customFormat="false" ht="15" hidden="false" customHeight="false" outlineLevel="0" collapsed="false">
      <c r="A12" s="6" t="s">
        <v>640</v>
      </c>
      <c r="B12" s="7" t="s">
        <v>16</v>
      </c>
      <c r="C12" s="12" t="n">
        <f aca="false">Eventos!$C$67+Eventos!$C$68</f>
        <v>530.35</v>
      </c>
      <c r="D12" s="12" t="n">
        <f aca="false">Eventos!$D$67+Eventos!$D$68</f>
        <v>1193.56</v>
      </c>
      <c r="E12" s="12" t="n">
        <f aca="false">Eventos!$E$67+Eventos!$E$68</f>
        <v>2427</v>
      </c>
      <c r="F12" s="2"/>
    </row>
    <row r="13" customFormat="false" ht="15" hidden="false" customHeight="false" outlineLevel="0" collapsed="false">
      <c r="A13" s="6" t="s">
        <v>641</v>
      </c>
      <c r="B13" s="7" t="s">
        <v>16</v>
      </c>
      <c r="C13" s="12" t="n">
        <f aca="false">Eventos!$C$64*Supuestos!$C$203/10^6</f>
        <v>658.5</v>
      </c>
      <c r="D13" s="12" t="n">
        <f aca="false">Eventos!$D$64*Supuestos!$D$203/10^6</f>
        <v>1496.8</v>
      </c>
      <c r="E13" s="12" t="n">
        <f aca="false">Eventos!$E$64*Supuestos!$E$203/10^6</f>
        <v>2902.5</v>
      </c>
      <c r="F13" s="2"/>
    </row>
    <row r="14" customFormat="false" ht="15" hidden="false" customHeight="false" outlineLevel="0" collapsed="false">
      <c r="A14" s="6" t="s">
        <v>642</v>
      </c>
      <c r="B14" s="7" t="s">
        <v>16</v>
      </c>
      <c r="C14" s="12" t="n">
        <f aca="false">Eventos!$C$64*Supuestos!$C$204*Supuestos!$C$205/10^6</f>
        <v>395.1</v>
      </c>
      <c r="D14" s="12" t="n">
        <f aca="false">Eventos!$D$64*Supuestos!$D$204*Supuestos!$D$205/10^6</f>
        <v>1234.86</v>
      </c>
      <c r="E14" s="12" t="n">
        <f aca="false">Eventos!$E$64*Supuestos!$E$204*Supuestos!$E$205/10^6</f>
        <v>3018.6</v>
      </c>
      <c r="F14" s="2"/>
    </row>
    <row r="15" customFormat="false" ht="15" hidden="false" customHeight="false" outlineLevel="0" collapsed="false">
      <c r="A15" s="6" t="s">
        <v>643</v>
      </c>
      <c r="B15" s="7" t="s">
        <v>16</v>
      </c>
      <c r="C15" s="12" t="n">
        <f aca="false">(Ingresos!$C$41+Ingresos!$C$42+Ingresos!$C$43+Ingresos!$C$44+Ingresos!$C$45+Ingresos!$C$47)/Supuestos!$C$206</f>
        <v>6997.56401464</v>
      </c>
      <c r="D15" s="12" t="n">
        <f aca="false">(Ingresos!$D$41+Ingresos!$D$42+Ingresos!$D$43+Ingresos!$D$44+Ingresos!$D$45+Ingresos!$D$47)/Supuestos!$D$206</f>
        <v>12245.17913424</v>
      </c>
      <c r="E15" s="12" t="n">
        <f aca="false">(Ingresos!$E$41+Ingresos!$E$42+Ingresos!$E$43+Ingresos!$E$44+Ingresos!$E$45+Ingresos!$E$47)/Supuestos!$E$206</f>
        <v>18190.3219210667</v>
      </c>
      <c r="F15" s="42" t="s">
        <v>644</v>
      </c>
    </row>
    <row r="16" customFormat="false" ht="15" hidden="false" customHeight="false" outlineLevel="0" collapsed="false">
      <c r="A16" s="6" t="s">
        <v>645</v>
      </c>
      <c r="B16" s="7" t="s">
        <v>16</v>
      </c>
      <c r="C16" s="8" t="n">
        <f aca="false">Ingresos!$C$68</f>
        <v>2498.36601165495</v>
      </c>
      <c r="D16" s="8" t="n">
        <f aca="false">Ingresos!$D$68</f>
        <v>4466.43748422777</v>
      </c>
      <c r="E16" s="8" t="n">
        <f aca="false">Ingresos!$E$68</f>
        <v>7499.50588838291</v>
      </c>
      <c r="F16" s="2"/>
    </row>
    <row r="17" customFormat="false" ht="15" hidden="false" customHeight="false" outlineLevel="0" collapsed="false">
      <c r="A17" s="9" t="s">
        <v>646</v>
      </c>
      <c r="B17" s="10" t="s">
        <v>16</v>
      </c>
      <c r="C17" s="53" t="n">
        <f aca="false">Derrama!$C$11+Derrama!$C$12+Derrama!$C$13+Derrama!$C$14+Derrama!$C$15+Derrama!$C$16</f>
        <v>13056.380026295</v>
      </c>
      <c r="D17" s="53" t="n">
        <f aca="false">Derrama!$D$11+Derrama!$D$12+Derrama!$D$13+Derrama!$D$14+Derrama!$D$15+Derrama!$D$16</f>
        <v>25200.4366184678</v>
      </c>
      <c r="E17" s="53" t="n">
        <f aca="false">Derrama!$E$11+Derrama!$E$12+Derrama!$E$13+Derrama!$E$14+Derrama!$E$15+Derrama!$E$16</f>
        <v>42985.9278094496</v>
      </c>
      <c r="F17" s="42" t="s">
        <v>647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</row>
    <row r="19" customFormat="false" ht="15" hidden="false" customHeight="false" outlineLevel="0" collapsed="false">
      <c r="A19" s="39" t="s">
        <v>648</v>
      </c>
      <c r="B19" s="40"/>
      <c r="C19" s="40"/>
      <c r="D19" s="40"/>
      <c r="E19" s="40"/>
      <c r="F19" s="40"/>
    </row>
    <row r="20" customFormat="false" ht="15" hidden="false" customHeight="false" outlineLevel="0" collapsed="false">
      <c r="A20" s="6" t="s">
        <v>649</v>
      </c>
      <c r="B20" s="7" t="s">
        <v>650</v>
      </c>
      <c r="C20" s="12" t="n">
        <f aca="false">Supuestos!$C$102*Supuestos!$C$103*Supuestos!$C$116/Supuestos!$C$207</f>
        <v>4361.89123555556</v>
      </c>
      <c r="D20" s="12" t="n">
        <f aca="false">Supuestos!$D$102*Supuestos!$D$103*Supuestos!$D$116/Supuestos!$D$207</f>
        <v>5646.4785</v>
      </c>
      <c r="E20" s="12" t="n">
        <f aca="false">Supuestos!$E$102*Supuestos!$E$103*Supuestos!$E$116/Supuestos!$E$207</f>
        <v>7126.00754285714</v>
      </c>
      <c r="F20" s="2"/>
    </row>
    <row r="21" customFormat="false" ht="15" hidden="false" customHeight="false" outlineLevel="0" collapsed="false">
      <c r="A21" s="6" t="s">
        <v>651</v>
      </c>
      <c r="B21" s="7" t="s">
        <v>650</v>
      </c>
      <c r="C21" s="8" t="n">
        <f aca="false">Supuestos!$C$178</f>
        <v>220</v>
      </c>
      <c r="D21" s="8" t="n">
        <f aca="false">Supuestos!$D$178</f>
        <v>180</v>
      </c>
      <c r="E21" s="8" t="n">
        <f aca="false">Supuestos!$E$178</f>
        <v>170</v>
      </c>
      <c r="F21" s="2"/>
    </row>
    <row r="22" customFormat="false" ht="15" hidden="false" customHeight="false" outlineLevel="0" collapsed="false">
      <c r="A22" s="14" t="s">
        <v>652</v>
      </c>
      <c r="B22" s="7" t="s">
        <v>650</v>
      </c>
      <c r="C22" s="50" t="n">
        <f aca="false">Derrama!$C$20+Derrama!$C$21</f>
        <v>4581.89123555556</v>
      </c>
      <c r="D22" s="50" t="n">
        <f aca="false">Derrama!$D$20+Derrama!$D$21</f>
        <v>5826.4785</v>
      </c>
      <c r="E22" s="50" t="n">
        <f aca="false">Derrama!$E$20+Derrama!$E$21</f>
        <v>7296.00754285714</v>
      </c>
      <c r="F22" s="2"/>
    </row>
    <row r="23" customFormat="false" ht="15" hidden="false" customHeight="false" outlineLevel="0" collapsed="false">
      <c r="A23" s="6" t="s">
        <v>653</v>
      </c>
      <c r="B23" s="7" t="s">
        <v>14</v>
      </c>
      <c r="C23" s="8" t="n">
        <f aca="false">Supuestos!$C$72</f>
        <v>2800</v>
      </c>
      <c r="D23" s="8" t="n">
        <f aca="false">Supuestos!$D$72</f>
        <v>2500</v>
      </c>
      <c r="E23" s="8" t="n">
        <f aca="false">Supuestos!$E$72</f>
        <v>2200</v>
      </c>
      <c r="F23" s="42" t="s">
        <v>654</v>
      </c>
    </row>
    <row r="24" customFormat="false" ht="15" hidden="false" customHeight="false" outlineLevel="0" collapsed="false">
      <c r="A24" s="14" t="s">
        <v>655</v>
      </c>
      <c r="B24" s="7" t="s">
        <v>650</v>
      </c>
      <c r="C24" s="50" t="n">
        <f aca="false">Supuestos!$C$8*10^6*Supuestos!$C$208/Supuestos!$C$209/4</f>
        <v>16269.3055555556</v>
      </c>
      <c r="D24" s="50" t="n">
        <f aca="false">Supuestos!$D$8*10^6*Supuestos!$D$208/Supuestos!$D$209/4</f>
        <v>16269.3055555556</v>
      </c>
      <c r="E24" s="50" t="n">
        <f aca="false">Supuestos!$E$8*10^6*Supuestos!$E$208/Supuestos!$E$209/4</f>
        <v>16269.3055555556</v>
      </c>
      <c r="F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</row>
    <row r="26" customFormat="false" ht="15" hidden="false" customHeight="false" outlineLevel="0" collapsed="false">
      <c r="A26" s="39" t="s">
        <v>656</v>
      </c>
      <c r="B26" s="40"/>
      <c r="C26" s="40"/>
      <c r="D26" s="40"/>
      <c r="E26" s="40"/>
      <c r="F26" s="40"/>
    </row>
    <row r="27" customFormat="false" ht="15" hidden="false" customHeight="false" outlineLevel="0" collapsed="false">
      <c r="A27" s="6" t="s">
        <v>657</v>
      </c>
      <c r="B27" s="7" t="s">
        <v>16</v>
      </c>
      <c r="C27" s="12" t="n">
        <f aca="false">(Derrama!$C$16+Derrama!$C$11+Derrama!$C$12+Derrama!$C$15)*Supuestos!$C$210</f>
        <v>1920.44480420719</v>
      </c>
      <c r="D27" s="12" t="n">
        <f aca="false">(Derrama!$D$16+Derrama!$D$11+Derrama!$D$12+Derrama!$D$15)*Supuestos!$D$210</f>
        <v>3595.00425895484</v>
      </c>
      <c r="E27" s="12" t="n">
        <f aca="false">(Derrama!$E$16+Derrama!$E$11+Derrama!$E$12+Derrama!$E$15)*Supuestos!$E$210</f>
        <v>5930.37244951193</v>
      </c>
      <c r="F27" s="2"/>
    </row>
    <row r="28" customFormat="false" ht="15" hidden="false" customHeight="false" outlineLevel="0" collapsed="false">
      <c r="A28" s="6" t="s">
        <v>403</v>
      </c>
      <c r="B28" s="7" t="s">
        <v>16</v>
      </c>
      <c r="C28" s="8" t="n">
        <f aca="false">Costos_Operacion!$C$37</f>
        <v>53.245</v>
      </c>
      <c r="D28" s="8" t="n">
        <f aca="false">Costos_Operacion!$D$37</f>
        <v>53.245</v>
      </c>
      <c r="E28" s="8" t="n">
        <f aca="false">Costos_Operacion!$E$37</f>
        <v>42.596</v>
      </c>
      <c r="F28" s="2"/>
    </row>
    <row r="29" customFormat="false" ht="15" hidden="false" customHeight="false" outlineLevel="0" collapsed="false">
      <c r="A29" s="6" t="s">
        <v>658</v>
      </c>
      <c r="B29" s="7" t="s">
        <v>8</v>
      </c>
      <c r="C29" s="12" t="n">
        <f aca="false">Supuestos!$C$8*Supuestos!$C$210</f>
        <v>8519.2</v>
      </c>
      <c r="D29" s="12" t="n">
        <f aca="false">Supuestos!$D$8*Supuestos!$D$210</f>
        <v>8519.2</v>
      </c>
      <c r="E29" s="12" t="n">
        <f aca="false">Supuestos!$E$8*Supuestos!$E$210</f>
        <v>8519.2</v>
      </c>
      <c r="F2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2026-10-21T02:17:00Z</dcterms:created>
  <dc:creator>openpyxl</dc:creator>
  <dc:description/>
  <dc:language>en-US</dc:language>
  <cp:lastModifiedBy/>
  <dcterms:modified xsi:type="dcterms:W3CDTF">2026-10-21T02:17:02Z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