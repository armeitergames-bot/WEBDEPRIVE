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esupuesto" sheetId="2" state="visible" r:id="rId4"/>
    <sheet name="Materiales" sheetId="3" state="visible" r:id="rId5"/>
    <sheet name="Supuestos" sheetId="4" state="visible" r:id="rId6"/>
    <sheet name="Cantidades_Modelo" sheetId="5" state="visible" r:id="rId7"/>
    <sheet name="Medidas" sheetId="6" state="visible" r:id="rId8"/>
  </sheets>
  <definedNames>
    <definedName function="false" hidden="true" localSheetId="1" name="_xlnm._FilterDatabase" vbProcedure="false">Presupuesto!$A$4:$J$231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<sst xmlns="http://schemas.openxmlformats.org/spreadsheetml/2006/main" count="2411" uniqueCount="980">
  <si>
    <t xml:space="preserve">ESTADIO YAXCHÉ + PLAZA SAKBÉ — Resumen del costo de construcción</t>
  </si>
  <si>
    <t xml:space="preserve">MXN sin IVA salvo donde se indica. Estimado de concepto ±25 %. Excluye terreno, mobiliario de locatarios y costos financieros.</t>
  </si>
  <si>
    <t xml:space="preserve">Capítulo</t>
  </si>
  <si>
    <t xml:space="preserve">Estadio</t>
  </si>
  <si>
    <t xml:space="preserve">Plaza Sakbé</t>
  </si>
  <si>
    <t xml:space="preserve">Subterráneo y obra común</t>
  </si>
  <si>
    <t xml:space="preserve">Total (MXN)</t>
  </si>
  <si>
    <t xml:space="preserve">% del directo</t>
  </si>
  <si>
    <t xml:space="preserve">01 Preliminares y obras provisionales</t>
  </si>
  <si>
    <t xml:space="preserve">02 Excavación, contención y cimentación</t>
  </si>
  <si>
    <t xml:space="preserve">03 Estructura de concreto</t>
  </si>
  <si>
    <t xml:space="preserve">04 Estructura metálica y de madera</t>
  </si>
  <si>
    <t xml:space="preserve">05 Cubiertas (fija y retráctil)</t>
  </si>
  <si>
    <t xml:space="preserve">06 Fachadas y vidrios</t>
  </si>
  <si>
    <t xml:space="preserve">07 Albañilería, acabados y carpintería</t>
  </si>
  <si>
    <t xml:space="preserve">08 Instalación eléctrica, iluminación y energía</t>
  </si>
  <si>
    <t xml:space="preserve">09 Instalaciones hidráulicas, sanitarias y pluviales</t>
  </si>
  <si>
    <t xml:space="preserve">10 Climatización y ventilación</t>
  </si>
  <si>
    <t xml:space="preserve">11 Protección contra incendio y seguridad humana</t>
  </si>
  <si>
    <t xml:space="preserve">12 Voz y datos, seguridad y sistemas especiales</t>
  </si>
  <si>
    <t xml:space="preserve">13 Transporte vertical</t>
  </si>
  <si>
    <t xml:space="preserve">14 Equipamiento deportivo y de eventos</t>
  </si>
  <si>
    <t xml:space="preserve">15 Estacionamiento</t>
  </si>
  <si>
    <t xml:space="preserve">16 Paisaje, obra exterior y agua</t>
  </si>
  <si>
    <t xml:space="preserve">17 Consumibles y misceláneos de obra</t>
  </si>
  <si>
    <t xml:space="preserve">18 Pruebas, puesta en marcha y certificaciones</t>
  </si>
  <si>
    <t xml:space="preserve">COSTO DIRECTO</t>
  </si>
  <si>
    <t xml:space="preserve">Indirectos de obra</t>
  </si>
  <si>
    <t xml:space="preserve">Utilidad del contratista</t>
  </si>
  <si>
    <t xml:space="preserve">Proyecto ejecutivo e ingenierías</t>
  </si>
  <si>
    <t xml:space="preserve">Licencias, permisos, DRO</t>
  </si>
  <si>
    <t xml:space="preserve">Supervisión y gerencia</t>
  </si>
  <si>
    <t xml:space="preserve">Subtotal antes de contingencia</t>
  </si>
  <si>
    <t xml:space="preserve">Contingencia</t>
  </si>
  <si>
    <t xml:space="preserve">TOTAL SIN IVA</t>
  </si>
  <si>
    <t xml:space="preserve">IVA</t>
  </si>
  <si>
    <t xml:space="preserve">TOTAL CON IVA (MXN)</t>
  </si>
  <si>
    <t xml:space="preserve">TOTAL CON IVA (USD)</t>
  </si>
  <si>
    <t xml:space="preserve">Indicadores</t>
  </si>
  <si>
    <t xml:space="preserve">Estadio: costo total sin IVA (MXN)</t>
  </si>
  <si>
    <t xml:space="preserve">Estadio: costo por butaca (MXN)</t>
  </si>
  <si>
    <t xml:space="preserve">Estadio: costo por butaca (USD)</t>
  </si>
  <si>
    <t xml:space="preserve">Plaza Sakbé: costo total sin IVA (MXN)</t>
  </si>
  <si>
    <t xml:space="preserve">Plaza Sakbé: costo por m² construido (MXN)</t>
  </si>
  <si>
    <t xml:space="preserve">Subterráneo y obra común: costo sin IVA (MXN)</t>
  </si>
  <si>
    <t xml:space="preserve">Estacionamiento + obra común por cajón (MXN)</t>
  </si>
  <si>
    <t xml:space="preserve">Notas: costo indirecto, utilidad y contingencia se reparten en proporción al directo en los indicadores. No incluye terreno, demoliciones fuera del predio, obras viales externas, mobiliario/equipo de locatarios ni costo financiero.</t>
  </si>
  <si>
    <t xml:space="preserve">Estadio Yaxché + Plaza Sakbé — Presupuesto paramétrico de construcción (MXN, sin IVA)</t>
  </si>
  <si>
    <t xml:space="preserve">Estimado de concepto (clase 4, ±25 %). Precios unitarios de mercado en México 2025–2026, incluyen material, mano de obra, equipo y desperdicio; verificar con cotizaciones.</t>
  </si>
  <si>
    <t xml:space="preserve">Zona</t>
  </si>
  <si>
    <t xml:space="preserve">Clave</t>
  </si>
  <si>
    <t xml:space="preserve">Concepto</t>
  </si>
  <si>
    <t xml:space="preserve">Unidad</t>
  </si>
  <si>
    <t xml:space="preserve">Cantidad</t>
  </si>
  <si>
    <t xml:space="preserve">P.U. (MXN)</t>
  </si>
  <si>
    <t xml:space="preserve">Importe (MXN)</t>
  </si>
  <si>
    <t xml:space="preserve">Material / insumo</t>
  </si>
  <si>
    <t xml:space="preserve">Criterio de cantidad</t>
  </si>
  <si>
    <t xml:space="preserve">01.01</t>
  </si>
  <si>
    <t xml:space="preserve">Limpieza, despalme y trazo/nivelación del predio</t>
  </si>
  <si>
    <t xml:space="preserve">m²</t>
  </si>
  <si>
    <t xml:space="preserve">Mano de obra y topografía</t>
  </si>
  <si>
    <t xml:space="preserve">Medido del modelo / factor en Supuestos</t>
  </si>
  <si>
    <t xml:space="preserve">01.02</t>
  </si>
  <si>
    <t xml:space="preserve">Tapial / cerca perimetral de obra</t>
  </si>
  <si>
    <t xml:space="preserve">m</t>
  </si>
  <si>
    <t xml:space="preserve">Lámina y postes de acero</t>
  </si>
  <si>
    <t xml:space="preserve">01.03</t>
  </si>
  <si>
    <t xml:space="preserve">Oficinas, bodegas, comedor y sanitarios de obra</t>
  </si>
  <si>
    <t xml:space="preserve">mes</t>
  </si>
  <si>
    <t xml:space="preserve">Renta de instalaciones provisionales</t>
  </si>
  <si>
    <t xml:space="preserve">01.04</t>
  </si>
  <si>
    <t xml:space="preserve">Energía, agua y drenaje provisionales</t>
  </si>
  <si>
    <t xml:space="preserve">Servicios provisionales</t>
  </si>
  <si>
    <t xml:space="preserve">01.05</t>
  </si>
  <si>
    <t xml:space="preserve">Grúas torre (6) y grúa de celosía para cubierta (renta, montaje, operador)</t>
  </si>
  <si>
    <t xml:space="preserve">Renta de grúas</t>
  </si>
  <si>
    <t xml:space="preserve">01.06</t>
  </si>
  <si>
    <t xml:space="preserve">Seguridad, vigilancia, señalización y protección civil de obra</t>
  </si>
  <si>
    <t xml:space="preserve">Servicios de seguridad</t>
  </si>
  <si>
    <t xml:space="preserve">01.07</t>
  </si>
  <si>
    <t xml:space="preserve">Estudios: mecánica de suelos, topografía, geofísica, impacto ambiental y vial</t>
  </si>
  <si>
    <t xml:space="preserve">lote</t>
  </si>
  <si>
    <t xml:space="preserve">Estudios técnicos</t>
  </si>
  <si>
    <t xml:space="preserve">Lote / cantidad de diseño</t>
  </si>
  <si>
    <t xml:space="preserve">01.08</t>
  </si>
  <si>
    <t xml:space="preserve">Fianzas y seguros de obra (todo riesgo construcción)</t>
  </si>
  <si>
    <t xml:space="preserve">Seguros y fianzas</t>
  </si>
  <si>
    <t xml:space="preserve">02.01</t>
  </si>
  <si>
    <t xml:space="preserve">Muro Milán (pantalla) de concreto armado, e = 0.80 m, incl. lodos bentoníticos</t>
  </si>
  <si>
    <t xml:space="preserve">Concreto f'c 350 + acero + lodo bentonítico</t>
  </si>
  <si>
    <t xml:space="preserve">02.02</t>
  </si>
  <si>
    <t xml:space="preserve">Excavación masiva en caja a 13 m con equipo mecánico</t>
  </si>
  <si>
    <t xml:space="preserve">m³</t>
  </si>
  <si>
    <t xml:space="preserve">Maquinaria y operación</t>
  </si>
  <si>
    <t xml:space="preserve">02.03</t>
  </si>
  <si>
    <t xml:space="preserve">Carga y acarreo de material excavado a tiro autorizado (20 km)</t>
  </si>
  <si>
    <t xml:space="preserve">Acarreo en camión</t>
  </si>
  <si>
    <t xml:space="preserve">02.04</t>
  </si>
  <si>
    <t xml:space="preserve">Abatimiento del nivel freático (pozos y bombeo)</t>
  </si>
  <si>
    <t xml:space="preserve">Equipo de bombeo</t>
  </si>
  <si>
    <t xml:space="preserve">02.05</t>
  </si>
  <si>
    <t xml:space="preserve">Anclas de muro Milán (3 niveles, @ 3 m)</t>
  </si>
  <si>
    <t xml:space="preserve">pza</t>
  </si>
  <si>
    <t xml:space="preserve">Torón y lechada</t>
  </si>
  <si>
    <t xml:space="preserve">02.06</t>
  </si>
  <si>
    <t xml:space="preserve">Pilas de cimentación Ø1.20 m, coladas en sitio</t>
  </si>
  <si>
    <t xml:space="preserve">Concreto f'c 300 + acero</t>
  </si>
  <si>
    <t xml:space="preserve">02.07</t>
  </si>
  <si>
    <t xml:space="preserve">Plantilla de concreto f'c 100, e = 5 cm</t>
  </si>
  <si>
    <t xml:space="preserve">Concreto f'c 100</t>
  </si>
  <si>
    <t xml:space="preserve">02.08</t>
  </si>
  <si>
    <t xml:space="preserve">Losa de cimentación: concreto f'c 350 premezclado, bombeado</t>
  </si>
  <si>
    <t xml:space="preserve">Concreto f'c 350</t>
  </si>
  <si>
    <t xml:space="preserve">02.09</t>
  </si>
  <si>
    <t xml:space="preserve">Losa de cimentación: acero de refuerzo fy 4200 habilitado y colocado</t>
  </si>
  <si>
    <t xml:space="preserve">kg</t>
  </si>
  <si>
    <t xml:space="preserve">Varilla corrugada fy 4200</t>
  </si>
  <si>
    <t xml:space="preserve">02.10</t>
  </si>
  <si>
    <t xml:space="preserve">Impermeabilización de cimentación y muros (membrana bentonítica)</t>
  </si>
  <si>
    <t xml:space="preserve">Membrana bentonítica</t>
  </si>
  <si>
    <t xml:space="preserve">02.11</t>
  </si>
  <si>
    <t xml:space="preserve">Impermeabilización de losa de plaza bajo jardines (membrana antirraíz + protección)</t>
  </si>
  <si>
    <t xml:space="preserve">Membrana antirraíz</t>
  </si>
  <si>
    <t xml:space="preserve">02.12</t>
  </si>
  <si>
    <t xml:space="preserve">Juntas de colado con banda de PVC</t>
  </si>
  <si>
    <t xml:space="preserve">Banda de PVC</t>
  </si>
  <si>
    <t xml:space="preserve">02.13</t>
  </si>
  <si>
    <t xml:space="preserve">Relleno compactado bajo grada 1 (material de banco al 95 % Proctor)</t>
  </si>
  <si>
    <t xml:space="preserve">Material de banco</t>
  </si>
  <si>
    <t xml:space="preserve">03.01</t>
  </si>
  <si>
    <t xml:space="preserve">Grada 1: losa escalonada f'c 350 sobre relleno</t>
  </si>
  <si>
    <t xml:space="preserve">03.02</t>
  </si>
  <si>
    <t xml:space="preserve">Gradas 2 y 3: elementos prefabricados y trabes inclinadas f'c 450</t>
  </si>
  <si>
    <t xml:space="preserve">Concreto prefabricado f'c 450</t>
  </si>
  <si>
    <t xml:space="preserve">03.03</t>
  </si>
  <si>
    <t xml:space="preserve">Marcos y trabes portantes de gradas 2 y 3 (f'c 450)</t>
  </si>
  <si>
    <t xml:space="preserve">Concreto f'c 450</t>
  </si>
  <si>
    <t xml:space="preserve">03.04</t>
  </si>
  <si>
    <t xml:space="preserve">Gradas: acero de refuerzo</t>
  </si>
  <si>
    <t xml:space="preserve">03.05</t>
  </si>
  <si>
    <t xml:space="preserve">Gradas: cimbra</t>
  </si>
  <si>
    <t xml:space="preserve">Cimbra</t>
  </si>
  <si>
    <t xml:space="preserve">03.06</t>
  </si>
  <si>
    <t xml:space="preserve">Losas de vestíbulos L0, L0.5, L1 y L2 (postensadas)</t>
  </si>
  <si>
    <t xml:space="preserve">Concreto f'c 400</t>
  </si>
  <si>
    <t xml:space="preserve">03.07</t>
  </si>
  <si>
    <t xml:space="preserve">Losas de vestíbulos: acero de refuerzo</t>
  </si>
  <si>
    <t xml:space="preserve">03.08</t>
  </si>
  <si>
    <t xml:space="preserve">Losas de vestíbulos: torón de postensado</t>
  </si>
  <si>
    <t xml:space="preserve">Torón 0.6" y anclajes</t>
  </si>
  <si>
    <t xml:space="preserve">03.09</t>
  </si>
  <si>
    <t xml:space="preserve">Losas de vestíbulos: cimbra</t>
  </si>
  <si>
    <t xml:space="preserve">03.10</t>
  </si>
  <si>
    <t xml:space="preserve">Columnas del estadio f'c 500 (Ø 1.2–1.4 m)</t>
  </si>
  <si>
    <t xml:space="preserve">Concreto f'c 500</t>
  </si>
  <si>
    <t xml:space="preserve">03.11</t>
  </si>
  <si>
    <t xml:space="preserve">Columnas del estadio: acero de refuerzo</t>
  </si>
  <si>
    <t xml:space="preserve">03.12</t>
  </si>
  <si>
    <t xml:space="preserve">Columnas del estadio: cimbra metálica circular</t>
  </si>
  <si>
    <t xml:space="preserve">03.13</t>
  </si>
  <si>
    <t xml:space="preserve">Núcleos de escape (16) y núcleos de elevadores de torres (8)</t>
  </si>
  <si>
    <t xml:space="preserve">03.14</t>
  </si>
  <si>
    <t xml:space="preserve">Núcleos del estadio: acero de refuerzo</t>
  </si>
  <si>
    <t xml:space="preserve">03.15</t>
  </si>
  <si>
    <t xml:space="preserve">Núcleos del estadio: cimbra</t>
  </si>
  <si>
    <t xml:space="preserve">03.16</t>
  </si>
  <si>
    <t xml:space="preserve">Muro perimetral del campo, túnel de jugadores y cuartos a nivel de campo</t>
  </si>
  <si>
    <t xml:space="preserve">03.17</t>
  </si>
  <si>
    <t xml:space="preserve">Losa de estacionamiento P1 (postensada)</t>
  </si>
  <si>
    <t xml:space="preserve">03.18</t>
  </si>
  <si>
    <t xml:space="preserve">Losa de plaza sobre estacionamiento (carga de jardín y bomberos)</t>
  </si>
  <si>
    <t xml:space="preserve">03.19</t>
  </si>
  <si>
    <t xml:space="preserve">Losas P1 y plaza: acero de refuerzo</t>
  </si>
  <si>
    <t xml:space="preserve">03.20</t>
  </si>
  <si>
    <t xml:space="preserve">Losas P1 y plaza: torón de postensado</t>
  </si>
  <si>
    <t xml:space="preserve">03.21</t>
  </si>
  <si>
    <t xml:space="preserve">Losas P1 y plaza: cimbra</t>
  </si>
  <si>
    <t xml:space="preserve">03.22</t>
  </si>
  <si>
    <t xml:space="preserve">Columnas de estacionamiento f'c 400 (0.6 × 0.6 m)</t>
  </si>
  <si>
    <t xml:space="preserve">03.23</t>
  </si>
  <si>
    <t xml:space="preserve">Columnas de estacionamiento: acero de refuerzo</t>
  </si>
  <si>
    <t xml:space="preserve">03.24</t>
  </si>
  <si>
    <t xml:space="preserve">Columnas de estacionamiento: cimbra metálica</t>
  </si>
  <si>
    <t xml:space="preserve">03.25</t>
  </si>
  <si>
    <t xml:space="preserve">Muros de campo y túnel: acero de refuerzo y cimbra</t>
  </si>
  <si>
    <t xml:space="preserve">03.26</t>
  </si>
  <si>
    <t xml:space="preserve">Cisternas: acero de refuerzo</t>
  </si>
  <si>
    <t xml:space="preserve">03.27</t>
  </si>
  <si>
    <t xml:space="preserve">Rampas vehiculares de acceso a P1 y P2 (4) con muros de contención</t>
  </si>
  <si>
    <t xml:space="preserve">03.28</t>
  </si>
  <si>
    <t xml:space="preserve">Escaleras de concreto dentro de núcleos (rampas y descansos)</t>
  </si>
  <si>
    <t xml:space="preserve">Concreto f'c 300</t>
  </si>
  <si>
    <t xml:space="preserve">03.29</t>
  </si>
  <si>
    <t xml:space="preserve">Juntas sísmicas y de dilatación (brechas, estadio-plaza, losas)</t>
  </si>
  <si>
    <t xml:space="preserve">Junta sísmica de aluminio/elastómero</t>
  </si>
  <si>
    <t xml:space="preserve">03.30</t>
  </si>
  <si>
    <t xml:space="preserve">Entrepisos postensados de la Plaza Sakbé</t>
  </si>
  <si>
    <t xml:space="preserve">03.31</t>
  </si>
  <si>
    <t xml:space="preserve">Losa de azotea verde</t>
  </si>
  <si>
    <t xml:space="preserve">03.32</t>
  </si>
  <si>
    <t xml:space="preserve">Entrepisos y azotea: acero de refuerzo</t>
  </si>
  <si>
    <t xml:space="preserve">03.33</t>
  </si>
  <si>
    <t xml:space="preserve">Entrepisos y azotea: torón de postensado</t>
  </si>
  <si>
    <t xml:space="preserve">03.34</t>
  </si>
  <si>
    <t xml:space="preserve">Entrepisos y azotea: cimbra</t>
  </si>
  <si>
    <t xml:space="preserve">03.35</t>
  </si>
  <si>
    <t xml:space="preserve">Columnas de la plaza f'c 500 (0.8 × 0.8 m)</t>
  </si>
  <si>
    <t xml:space="preserve">03.36</t>
  </si>
  <si>
    <t xml:space="preserve">Columnas de la plaza: acero de refuerzo</t>
  </si>
  <si>
    <t xml:space="preserve">03.37</t>
  </si>
  <si>
    <t xml:space="preserve">Columnas de la plaza: cimbra</t>
  </si>
  <si>
    <t xml:space="preserve">03.38</t>
  </si>
  <si>
    <t xml:space="preserve">Núcleos de circulación de la plaza (42)</t>
  </si>
  <si>
    <t xml:space="preserve">03.39</t>
  </si>
  <si>
    <t xml:space="preserve">Núcleos de la plaza: acero de refuerzo</t>
  </si>
  <si>
    <t xml:space="preserve">03.40</t>
  </si>
  <si>
    <t xml:space="preserve">Núcleos de la plaza: cimbra deslizante</t>
  </si>
  <si>
    <t xml:space="preserve">03.41</t>
  </si>
  <si>
    <t xml:space="preserve">Cisternas de agua pluvial de concreto impermeable</t>
  </si>
  <si>
    <t xml:space="preserve">Concreto f'c 350 impermeable</t>
  </si>
  <si>
    <t xml:space="preserve">03.42</t>
  </si>
  <si>
    <t xml:space="preserve">Aisladores sísmicos (estadio superior y Plaza Sakbé)</t>
  </si>
  <si>
    <t xml:space="preserve">Aislador de base elastomérico</t>
  </si>
  <si>
    <t xml:space="preserve">04.01</t>
  </si>
  <si>
    <t xml:space="preserve">Árboles estructurales: madera laminada (glulam) certificada</t>
  </si>
  <si>
    <t xml:space="preserve">Madera laminada encolada (glulam)</t>
  </si>
  <si>
    <t xml:space="preserve">04.02</t>
  </si>
  <si>
    <t xml:space="preserve">Árboles estructurales: nodos y conexiones de acero</t>
  </si>
  <si>
    <t xml:space="preserve">Acero estructural A572</t>
  </si>
  <si>
    <t xml:space="preserve">04.03</t>
  </si>
  <si>
    <t xml:space="preserve">Aletas paramétricas: madera LVL tratada + subestructura</t>
  </si>
  <si>
    <t xml:space="preserve">Madera LVL</t>
  </si>
  <si>
    <t xml:space="preserve">04.04</t>
  </si>
  <si>
    <t xml:space="preserve">Jardín vertical en aletas (malla, charolas, riego por goteo)</t>
  </si>
  <si>
    <t xml:space="preserve">Sistema de muro verde</t>
  </si>
  <si>
    <t xml:space="preserve">04.05</t>
  </si>
  <si>
    <t xml:space="preserve">Escaleras de doble hélice: estructura de acero</t>
  </si>
  <si>
    <t xml:space="preserve">04.06</t>
  </si>
  <si>
    <t xml:space="preserve">Escaleras de doble hélice: huellas de madera dura</t>
  </si>
  <si>
    <t xml:space="preserve">Madera dura (encino/ipe certificada)</t>
  </si>
  <si>
    <t xml:space="preserve">04.07</t>
  </si>
  <si>
    <t xml:space="preserve">Descansos y puentes de las torres</t>
  </si>
  <si>
    <t xml:space="preserve">04.08</t>
  </si>
  <si>
    <t xml:space="preserve">Marquesinas de acceso</t>
  </si>
  <si>
    <t xml:space="preserve">04.09</t>
  </si>
  <si>
    <t xml:space="preserve">Vomitorios: escaleras y barandales de acero</t>
  </si>
  <si>
    <t xml:space="preserve">04.10</t>
  </si>
  <si>
    <t xml:space="preserve">Balcones-pasillo del cañón (voladizos de acero)</t>
  </si>
  <si>
    <t xml:space="preserve">04.11</t>
  </si>
  <si>
    <t xml:space="preserve">Puentes del cañón y sobre las brechas</t>
  </si>
  <si>
    <t xml:space="preserve">04.12</t>
  </si>
  <si>
    <t xml:space="preserve">Pérgolas solares de la azotea</t>
  </si>
  <si>
    <t xml:space="preserve">04.13</t>
  </si>
  <si>
    <t xml:space="preserve">Pabellones de vidrio de salida a la azotea (42)</t>
  </si>
  <si>
    <t xml:space="preserve">05.01</t>
  </si>
  <si>
    <t xml:space="preserve">Cubierta fija: armaduras radiales, anillo de compresión y anillo de tensión</t>
  </si>
  <si>
    <t xml:space="preserve">Acero estructural A572 / cables</t>
  </si>
  <si>
    <t xml:space="preserve">05.02</t>
  </si>
  <si>
    <t xml:space="preserve">Cubierta fija: cojines de ETFE de 3 capas con sistema de inflado</t>
  </si>
  <si>
    <t xml:space="preserve">Película ETFE + perfiles de aluminio</t>
  </si>
  <si>
    <t xml:space="preserve">05.03</t>
  </si>
  <si>
    <t xml:space="preserve">Cubierta fija: paneles fotovoltaicos con estructura e impermeabilización</t>
  </si>
  <si>
    <t xml:space="preserve">Panel solar monocristalino + estructura</t>
  </si>
  <si>
    <t xml:space="preserve">05.04</t>
  </si>
  <si>
    <t xml:space="preserve">Plafón acústico de madera microperforada</t>
  </si>
  <si>
    <t xml:space="preserve">Panel de madera acústica</t>
  </si>
  <si>
    <t xml:space="preserve">05.05</t>
  </si>
  <si>
    <t xml:space="preserve">Ventilas con silenciadores acústicos tipo bafle</t>
  </si>
  <si>
    <t xml:space="preserve">Bafles acústicos</t>
  </si>
  <si>
    <t xml:space="preserve">05.06</t>
  </si>
  <si>
    <t xml:space="preserve">Techo retráctil: estructura de hojas</t>
  </si>
  <si>
    <t xml:space="preserve">05.07</t>
  </si>
  <si>
    <t xml:space="preserve">Techo retráctil: cojines de ETFE de 3 capas</t>
  </si>
  <si>
    <t xml:space="preserve">05.08</t>
  </si>
  <si>
    <t xml:space="preserve">Vigas-riel cajón, cubo central y armaduras inferiores</t>
  </si>
  <si>
    <t xml:space="preserve">05.09</t>
  </si>
  <si>
    <t xml:space="preserve">Carritos (bogies), rieles, motores, frenos y control del techo retráctil</t>
  </si>
  <si>
    <t xml:space="preserve">Mecanismo de movimiento</t>
  </si>
  <si>
    <t xml:space="preserve">05.10</t>
  </si>
  <si>
    <t xml:space="preserve">Canalones, bajantes pluviales de cubierta y línea de vida</t>
  </si>
  <si>
    <t xml:space="preserve">Acero inoxidable / línea de vida</t>
  </si>
  <si>
    <t xml:space="preserve">05.11</t>
  </si>
  <si>
    <t xml:space="preserve">Pantalla LED halo 360° (pixel pitch 10 mm)</t>
  </si>
  <si>
    <t xml:space="preserve">Pantalla LED</t>
  </si>
  <si>
    <t xml:space="preserve">06.01</t>
  </si>
  <si>
    <t xml:space="preserve">Fachada doble piel de vidrio acústico laminado (muro cortina)</t>
  </si>
  <si>
    <t xml:space="preserve">Vidrio laminado acústico + aluminio</t>
  </si>
  <si>
    <t xml:space="preserve">06.02</t>
  </si>
  <si>
    <t xml:space="preserve">Puertas automáticas de vidrio en fachada del estadio</t>
  </si>
  <si>
    <t xml:space="preserve">Puerta automática de vidrio</t>
  </si>
  <si>
    <t xml:space="preserve">06.03</t>
  </si>
  <si>
    <t xml:space="preserve">Vidrio de palcos</t>
  </si>
  <si>
    <t xml:space="preserve">Vidrio templado laminado</t>
  </si>
  <si>
    <t xml:space="preserve">06.04</t>
  </si>
  <si>
    <t xml:space="preserve">Torres de circulación: muro cortina curvo</t>
  </si>
  <si>
    <t xml:space="preserve">Vidrio curvo laminado + estructura</t>
  </si>
  <si>
    <t xml:space="preserve">06.05</t>
  </si>
  <si>
    <t xml:space="preserve">Fachada semi-espejo (estadio y exterior), sin fotovoltaico</t>
  </si>
  <si>
    <t xml:space="preserve">Vidrio reflectivo laminado + aluminio</t>
  </si>
  <si>
    <t xml:space="preserve">06.06</t>
  </si>
  <si>
    <t xml:space="preserve">Fachada semi-espejo con vidrio fotovoltaico integrado (BIPV)</t>
  </si>
  <si>
    <t xml:space="preserve">Vidrio fotovoltaico BIPV</t>
  </si>
  <si>
    <t xml:space="preserve">06.07</t>
  </si>
  <si>
    <t xml:space="preserve">Fachadas del cañón: vidrio claro bajo emisivo con puertas a balcones</t>
  </si>
  <si>
    <t xml:space="preserve">Vidrio claro low-e + aluminio</t>
  </si>
  <si>
    <t xml:space="preserve">06.08</t>
  </si>
  <si>
    <t xml:space="preserve">Muros de cabecera en brechas (semi-espejo)</t>
  </si>
  <si>
    <t xml:space="preserve">06.09</t>
  </si>
  <si>
    <t xml:space="preserve">Muros de cabecera en portales y ventanas urbanas (madera sobre bastidor)</t>
  </si>
  <si>
    <t xml:space="preserve">Recubrimiento de madera exterior</t>
  </si>
  <si>
    <t xml:space="preserve">06.10</t>
  </si>
  <si>
    <t xml:space="preserve">Plafón exterior de madera en portales y ventanas urbanas</t>
  </si>
  <si>
    <t xml:space="preserve">Madera exterior</t>
  </si>
  <si>
    <t xml:space="preserve">06.11</t>
  </si>
  <si>
    <t xml:space="preserve">Barandales de vidrio en balcones del cañón</t>
  </si>
  <si>
    <t xml:space="preserve">Vidrio templado laminado + herrajes</t>
  </si>
  <si>
    <t xml:space="preserve">06.12</t>
  </si>
  <si>
    <t xml:space="preserve">Barandales de vidrio en azotea y puentes</t>
  </si>
  <si>
    <t xml:space="preserve">06.13</t>
  </si>
  <si>
    <t xml:space="preserve">Barandales de vidrio en huecos de escaleras y gradas</t>
  </si>
  <si>
    <t xml:space="preserve">07.01</t>
  </si>
  <si>
    <t xml:space="preserve">Sellado epóxico antiderrapante en gradas y pasillos</t>
  </si>
  <si>
    <t xml:space="preserve">Recubrimiento epóxico</t>
  </si>
  <si>
    <t xml:space="preserve">07.02</t>
  </si>
  <si>
    <t xml:space="preserve">Butacas de estadio con respaldo (plástico reciclado, anclaje, numeración)</t>
  </si>
  <si>
    <t xml:space="preserve">Butaca de polipropileno reciclado</t>
  </si>
  <si>
    <t xml:space="preserve">07.03</t>
  </si>
  <si>
    <t xml:space="preserve">Lugares para silla de ruedas: plataforma, señal y asiento de acompañante abatible</t>
  </si>
  <si>
    <t xml:space="preserve">Asiento abatible + señalización</t>
  </si>
  <si>
    <t xml:space="preserve">07.04</t>
  </si>
  <si>
    <t xml:space="preserve">Pisos de vestíbulos: terrazo/piedra antiderrapante</t>
  </si>
  <si>
    <t xml:space="preserve">Terrazo / piedra</t>
  </si>
  <si>
    <t xml:space="preserve">07.05</t>
  </si>
  <si>
    <t xml:space="preserve">Plafones de vestíbulos (lámina perforada acústica)</t>
  </si>
  <si>
    <t xml:space="preserve">Plafón metálico acústico</t>
  </si>
  <si>
    <t xml:space="preserve">07.06</t>
  </si>
  <si>
    <t xml:space="preserve">Módulos de sanitarios (10 × 10 m) terminados, incl. muebles y accesorios</t>
  </si>
  <si>
    <t xml:space="preserve">Muebles sanitarios ahorradores + acabados</t>
  </si>
  <si>
    <t xml:space="preserve">07.07</t>
  </si>
  <si>
    <t xml:space="preserve">Módulos de alimentos (cocina, barra, extracción)</t>
  </si>
  <si>
    <t xml:space="preserve">Equipo de cocina + acabados</t>
  </si>
  <si>
    <t xml:space="preserve">07.08</t>
  </si>
  <si>
    <t xml:space="preserve">Kioscos de comida</t>
  </si>
  <si>
    <t xml:space="preserve">Kiosco prefabricado</t>
  </si>
  <si>
    <t xml:space="preserve">07.09</t>
  </si>
  <si>
    <t xml:space="preserve">Primeros auxilios, salas sensoriales y lactancia</t>
  </si>
  <si>
    <t xml:space="preserve">Acabados y equipo</t>
  </si>
  <si>
    <t xml:space="preserve">07.10</t>
  </si>
  <si>
    <t xml:space="preserve">Zona de jugadores (vestidores, árbitros, médico, antidopaje, prensa, calentamiento)</t>
  </si>
  <si>
    <t xml:space="preserve">Acabados y equipo deportivo</t>
  </si>
  <si>
    <t xml:space="preserve">07.11</t>
  </si>
  <si>
    <t xml:space="preserve">Palcos y áreas de hospitalidad</t>
  </si>
  <si>
    <t xml:space="preserve">Acabados de lujo</t>
  </si>
  <si>
    <t xml:space="preserve">07.12</t>
  </si>
  <si>
    <t xml:space="preserve">Centro de mando y control (protección civil)</t>
  </si>
  <si>
    <t xml:space="preserve">Equipo de control</t>
  </si>
  <si>
    <t xml:space="preserve">07.13</t>
  </si>
  <si>
    <t xml:space="preserve">Puertas cortafuego de núcleos (90 min)</t>
  </si>
  <si>
    <t xml:space="preserve">Puerta cortafuego</t>
  </si>
  <si>
    <t xml:space="preserve">07.14</t>
  </si>
  <si>
    <t xml:space="preserve">Pisos de áreas comunes de la plaza (porcelanato de gran formato)</t>
  </si>
  <si>
    <t xml:space="preserve">Porcelanato</t>
  </si>
  <si>
    <t xml:space="preserve">07.15</t>
  </si>
  <si>
    <t xml:space="preserve">Locales en obra gris (firme, muros divisorios, preparación de instalaciones)</t>
  </si>
  <si>
    <t xml:space="preserve">Muros de tablaroca + firme</t>
  </si>
  <si>
    <t xml:space="preserve">07.16</t>
  </si>
  <si>
    <t xml:space="preserve">Aparadores de vidrio de locales</t>
  </si>
  <si>
    <t xml:space="preserve">Vidrio templado + perfiles</t>
  </si>
  <si>
    <t xml:space="preserve">07.17</t>
  </si>
  <si>
    <t xml:space="preserve">Plafones y muros de áreas comunes (tablaroca, pintura)</t>
  </si>
  <si>
    <t xml:space="preserve">Tablaroca + pintura</t>
  </si>
  <si>
    <t xml:space="preserve">07.18</t>
  </si>
  <si>
    <t xml:space="preserve">Sanitarios públicos de la plaza (1 núcleo por cada 2 núcleos de circulación por piso)</t>
  </si>
  <si>
    <t xml:space="preserve">Muebles sanitarios + acabados</t>
  </si>
  <si>
    <t xml:space="preserve">07.19</t>
  </si>
  <si>
    <t xml:space="preserve">Puertas cortafuego de núcleos de la plaza</t>
  </si>
  <si>
    <t xml:space="preserve">07.20</t>
  </si>
  <si>
    <t xml:space="preserve">Balcones del cañón: piso de madera exterior y jardineras</t>
  </si>
  <si>
    <t xml:space="preserve">Madera exterior + jardinera</t>
  </si>
  <si>
    <t xml:space="preserve">07.21</t>
  </si>
  <si>
    <t xml:space="preserve">Señalización, wayfinding, braille y guías podotáctiles</t>
  </si>
  <si>
    <t xml:space="preserve">Señalética</t>
  </si>
  <si>
    <t xml:space="preserve">07.22</t>
  </si>
  <si>
    <t xml:space="preserve">Sellador y pintura en concreto aparente (núcleos, columnas, sótanos)</t>
  </si>
  <si>
    <t xml:space="preserve">Pintura vinílica / sellador</t>
  </si>
  <si>
    <t xml:space="preserve">07.23</t>
  </si>
  <si>
    <t xml:space="preserve">Góndolas para limpieza de fachadas (BMU) estadio y plaza</t>
  </si>
  <si>
    <t xml:space="preserve">Góndola BMU</t>
  </si>
  <si>
    <t xml:space="preserve">07.24</t>
  </si>
  <si>
    <t xml:space="preserve">Centro de acopio de residuos y reciclaje (compactadoras, básculas)</t>
  </si>
  <si>
    <t xml:space="preserve">Equipo de residuos</t>
  </si>
  <si>
    <t xml:space="preserve">07.25</t>
  </si>
  <si>
    <t xml:space="preserve">Limpieza final de obra</t>
  </si>
  <si>
    <t xml:space="preserve">Mano de obra</t>
  </si>
  <si>
    <t xml:space="preserve">08.01</t>
  </si>
  <si>
    <t xml:space="preserve">Subestación eléctrica principal 115 kV (2 × 40 MVA) y acometida</t>
  </si>
  <si>
    <t xml:space="preserve">Transformadores y tableros</t>
  </si>
  <si>
    <t xml:space="preserve">08.02</t>
  </si>
  <si>
    <t xml:space="preserve">Instalación eléctrica del estadio (distribución, tableros, contactos, alumbrado)</t>
  </si>
  <si>
    <t xml:space="preserve">Cable, canalización, tableros</t>
  </si>
  <si>
    <t xml:space="preserve">08.03</t>
  </si>
  <si>
    <t xml:space="preserve">Instalación eléctrica de la plaza</t>
  </si>
  <si>
    <t xml:space="preserve">08.04</t>
  </si>
  <si>
    <t xml:space="preserve">Iluminación deportiva LED para transmisión 4K (≥ 2,000 lux)</t>
  </si>
  <si>
    <t xml:space="preserve">Luminaria deportiva LED</t>
  </si>
  <si>
    <t xml:space="preserve">08.05</t>
  </si>
  <si>
    <t xml:space="preserve">Iluminación arquitectónica (árboles, fachada, cubierta, torres)</t>
  </si>
  <si>
    <t xml:space="preserve">Luminarias arquitectónicas</t>
  </si>
  <si>
    <t xml:space="preserve">08.06</t>
  </si>
  <si>
    <t xml:space="preserve">Cinta LED en fachadas de gradas y anillo LED a ras de campo</t>
  </si>
  <si>
    <t xml:space="preserve">08.07</t>
  </si>
  <si>
    <t xml:space="preserve">Sistema fotovoltaico de cubierta: inversores, tableros y monitoreo</t>
  </si>
  <si>
    <t xml:space="preserve">kWp</t>
  </si>
  <si>
    <t xml:space="preserve">Inversores</t>
  </si>
  <si>
    <t xml:space="preserve">08.08</t>
  </si>
  <si>
    <t xml:space="preserve">Sistema fotovoltaico en pérgolas (módulos + inversores)</t>
  </si>
  <si>
    <t xml:space="preserve">Panel solar + inversores</t>
  </si>
  <si>
    <t xml:space="preserve">08.09</t>
  </si>
  <si>
    <t xml:space="preserve">Inversores y conexión del vidrio fotovoltaico (BIPV)</t>
  </si>
  <si>
    <t xml:space="preserve">08.10</t>
  </si>
  <si>
    <t xml:space="preserve">Almacenamiento en baterías (BESS) 20 MWh</t>
  </si>
  <si>
    <t xml:space="preserve">kWh</t>
  </si>
  <si>
    <t xml:space="preserve">Baterías LFP</t>
  </si>
  <si>
    <t xml:space="preserve">08.11</t>
  </si>
  <si>
    <t xml:space="preserve">Plantas de emergencia (8 MW) con tanques de diésel/biodiésel</t>
  </si>
  <si>
    <t xml:space="preserve">kW</t>
  </si>
  <si>
    <t xml:space="preserve">Generador de emergencia</t>
  </si>
  <si>
    <t xml:space="preserve">08.12</t>
  </si>
  <si>
    <t xml:space="preserve">Cargadores para vehículos eléctricos (30 % de cajones)</t>
  </si>
  <si>
    <t xml:space="preserve">Cargador nivel 2</t>
  </si>
  <si>
    <t xml:space="preserve">08.13</t>
  </si>
  <si>
    <t xml:space="preserve">Sistema de pararrayos y tierras físicas</t>
  </si>
  <si>
    <t xml:space="preserve">Puntas, cable de cobre, electrodos</t>
  </si>
  <si>
    <t xml:space="preserve">08.14</t>
  </si>
  <si>
    <t xml:space="preserve">Red de gas natural para cocinas (estadio y restaurantes)</t>
  </si>
  <si>
    <t xml:space="preserve">Tubería de acero y reguladores</t>
  </si>
  <si>
    <t xml:space="preserve">08.15</t>
  </si>
  <si>
    <t xml:space="preserve">Infraestructura para televisión (compound de transmisión, cableado triax/fibra)</t>
  </si>
  <si>
    <t xml:space="preserve">Cableado de transmisión</t>
  </si>
  <si>
    <t xml:space="preserve">09.01</t>
  </si>
  <si>
    <t xml:space="preserve">Hidrosanitaria del estadio (redes, bombas, muebles fuera de módulos)</t>
  </si>
  <si>
    <t xml:space="preserve">Tubería, bombas, accesorios</t>
  </si>
  <si>
    <t xml:space="preserve">09.02</t>
  </si>
  <si>
    <t xml:space="preserve">Hidrosanitaria de la plaza</t>
  </si>
  <si>
    <t xml:space="preserve">09.03</t>
  </si>
  <si>
    <t xml:space="preserve">Planta de tratamiento y reúso de aguas grises y negras (1,200 m³/día)</t>
  </si>
  <si>
    <t xml:space="preserve">Planta de tratamiento</t>
  </si>
  <si>
    <t xml:space="preserve">09.04</t>
  </si>
  <si>
    <t xml:space="preserve">Captación pluvial: filtros, bombeo y red morada de reúso</t>
  </si>
  <si>
    <t xml:space="preserve">Equipos de filtración</t>
  </si>
  <si>
    <t xml:space="preserve">09.05</t>
  </si>
  <si>
    <t xml:space="preserve">Drenaje pluvial de plaza, azotea y explanada</t>
  </si>
  <si>
    <t xml:space="preserve">Tubería y coladeras</t>
  </si>
  <si>
    <t xml:space="preserve">10.01</t>
  </si>
  <si>
    <t xml:space="preserve">Planta central de agua helada / district cooling con almacenamiento térmico (9,000 TR)</t>
  </si>
  <si>
    <t xml:space="preserve">TR</t>
  </si>
  <si>
    <t xml:space="preserve">Chillers + torres + tanque térmico</t>
  </si>
  <si>
    <t xml:space="preserve">10.02</t>
  </si>
  <si>
    <t xml:space="preserve">Campo geotérmico (intercambio con el subsuelo)</t>
  </si>
  <si>
    <t xml:space="preserve">pozo</t>
  </si>
  <si>
    <t xml:space="preserve">Pozos geotérmicos</t>
  </si>
  <si>
    <t xml:space="preserve">10.03</t>
  </si>
  <si>
    <t xml:space="preserve">HVAC del estadio (palcos, vestidores, oficinas, cocinas, extracción)</t>
  </si>
  <si>
    <t xml:space="preserve">Manejadoras, ductos, fan coils</t>
  </si>
  <si>
    <t xml:space="preserve">10.04</t>
  </si>
  <si>
    <t xml:space="preserve">HVAC de la plaza (ventilación mixta: natural por el cañón + mecánica)</t>
  </si>
  <si>
    <t xml:space="preserve">10.05</t>
  </si>
  <si>
    <t xml:space="preserve">Ventilación y extracción de monóxido en estacionamiento</t>
  </si>
  <si>
    <t xml:space="preserve">Ventiladores de impulso</t>
  </si>
  <si>
    <t xml:space="preserve">11.01</t>
  </si>
  <si>
    <t xml:space="preserve">Red de rociadores, hidrantes, bombas contra incendio y tanque</t>
  </si>
  <si>
    <t xml:space="preserve">Tubería, rociadores, bombas</t>
  </si>
  <si>
    <t xml:space="preserve">11.02</t>
  </si>
  <si>
    <t xml:space="preserve">Detección y alarma de incendio con voceo de evacuación</t>
  </si>
  <si>
    <t xml:space="preserve">Detectores y panel</t>
  </si>
  <si>
    <t xml:space="preserve">11.03</t>
  </si>
  <si>
    <t xml:space="preserve">Control de humo (presurización de núcleos, extractores)</t>
  </si>
  <si>
    <t xml:space="preserve">Ventiladores y compuertas</t>
  </si>
  <si>
    <t xml:space="preserve">11.04</t>
  </si>
  <si>
    <t xml:space="preserve">Señalización fotoluminiscente y rutas de evacuación</t>
  </si>
  <si>
    <t xml:space="preserve">Señales fotoluminiscentes</t>
  </si>
  <si>
    <t xml:space="preserve">11.05</t>
  </si>
  <si>
    <t xml:space="preserve">Extintores y gabinetes</t>
  </si>
  <si>
    <t xml:space="preserve">Extintor PQS/CO2</t>
  </si>
  <si>
    <t xml:space="preserve">12.01</t>
  </si>
  <si>
    <t xml:space="preserve">Fibra óptica, cableado estructurado y centro de datos</t>
  </si>
  <si>
    <t xml:space="preserve">Fibra, cable, racks</t>
  </si>
  <si>
    <t xml:space="preserve">12.02</t>
  </si>
  <si>
    <t xml:space="preserve">WiFi de alta densidad y DAS celular para 100,000 usuarios</t>
  </si>
  <si>
    <t xml:space="preserve">Puntos de acceso y antenas</t>
  </si>
  <si>
    <t xml:space="preserve">12.03</t>
  </si>
  <si>
    <t xml:space="preserve">CCTV, reconocimiento y control de accesos</t>
  </si>
  <si>
    <t xml:space="preserve">Cámaras y servidores</t>
  </si>
  <si>
    <t xml:space="preserve">12.04</t>
  </si>
  <si>
    <t xml:space="preserve">Torniquetes de acceso con boleto digital</t>
  </si>
  <si>
    <t xml:space="preserve">Torniquete</t>
  </si>
  <si>
    <t xml:space="preserve">12.05</t>
  </si>
  <si>
    <t xml:space="preserve">Sonido del estadio (line arrays) y aro magnético para auxiliares auditivos</t>
  </si>
  <si>
    <t xml:space="preserve">Audio profesional</t>
  </si>
  <si>
    <t xml:space="preserve">12.06</t>
  </si>
  <si>
    <t xml:space="preserve">Sistema de automatización del edificio (BMS) y medición de energía</t>
  </si>
  <si>
    <t xml:space="preserve">Controladores y software</t>
  </si>
  <si>
    <t xml:space="preserve">13.01</t>
  </si>
  <si>
    <t xml:space="preserve">Elevadores del estadio (públicos, evacuación/bomberos, servicio)</t>
  </si>
  <si>
    <t xml:space="preserve">Elevador</t>
  </si>
  <si>
    <t xml:space="preserve">13.02</t>
  </si>
  <si>
    <t xml:space="preserve">Escaleras eléctricas del estadio (altura ≈ 9 m)</t>
  </si>
  <si>
    <t xml:space="preserve">Escalera eléctrica</t>
  </si>
  <si>
    <t xml:space="preserve">13.03</t>
  </si>
  <si>
    <t xml:space="preserve">Plataformas elevadoras en vomitorios para silla de ruedas</t>
  </si>
  <si>
    <t xml:space="preserve">Plataforma salvaescaleras</t>
  </si>
  <si>
    <t xml:space="preserve">13.04</t>
  </si>
  <si>
    <t xml:space="preserve">Elevadores de núcleos de la plaza (3 por núcleo)</t>
  </si>
  <si>
    <t xml:space="preserve">13.05</t>
  </si>
  <si>
    <t xml:space="preserve">Elevadores panorámicos del cañón</t>
  </si>
  <si>
    <t xml:space="preserve">Elevador panorámico</t>
  </si>
  <si>
    <t xml:space="preserve">13.06</t>
  </si>
  <si>
    <t xml:space="preserve">Escaleras eléctricas del cañón (altura 4.5 m)</t>
  </si>
  <si>
    <t xml:space="preserve">13.07</t>
  </si>
  <si>
    <t xml:space="preserve">Montacargas de servicio (P2 a vestíbulos)</t>
  </si>
  <si>
    <t xml:space="preserve">Montacargas</t>
  </si>
  <si>
    <t xml:space="preserve">14.01</t>
  </si>
  <si>
    <t xml:space="preserve">Pasto híbrido con drenaje, calefacción y riego subsuperficial</t>
  </si>
  <si>
    <t xml:space="preserve">Pasto híbrido + sustrato</t>
  </si>
  <si>
    <t xml:space="preserve">14.02</t>
  </si>
  <si>
    <t xml:space="preserve">Equipos de luz de crecimiento para pasto</t>
  </si>
  <si>
    <t xml:space="preserve">Luz de crecimiento</t>
  </si>
  <si>
    <t xml:space="preserve">14.03</t>
  </si>
  <si>
    <t xml:space="preserve">Porterías, banderines, bancas de jugadores y cabina de VAR</t>
  </si>
  <si>
    <t xml:space="preserve">Equipo deportivo</t>
  </si>
  <si>
    <t xml:space="preserve">14.04</t>
  </si>
  <si>
    <t xml:space="preserve">Postes de fútbol americano y rugby, marcaje, piso protector de pasto</t>
  </si>
  <si>
    <t xml:space="preserve">14.05</t>
  </si>
  <si>
    <t xml:space="preserve">Gradas telescópicas y duela para modo arena</t>
  </si>
  <si>
    <t xml:space="preserve">Grada telescópica</t>
  </si>
  <si>
    <t xml:space="preserve">14.06</t>
  </si>
  <si>
    <t xml:space="preserve">Manga telescópica del túnel de jugadores</t>
  </si>
  <si>
    <t xml:space="preserve">Manga telescópica</t>
  </si>
  <si>
    <t xml:space="preserve">15.01</t>
  </si>
  <si>
    <t xml:space="preserve">Pintura de cajones, señalización y topes</t>
  </si>
  <si>
    <t xml:space="preserve">Pintura de tráfico</t>
  </si>
  <si>
    <t xml:space="preserve">15.02</t>
  </si>
  <si>
    <t xml:space="preserve">Control de acceso y cobro de estacionamiento</t>
  </si>
  <si>
    <t xml:space="preserve">Barreras y lectores</t>
  </si>
  <si>
    <t xml:space="preserve">15.03</t>
  </si>
  <si>
    <t xml:space="preserve">Firme y endurecedor de piso en P1 y P2</t>
  </si>
  <si>
    <t xml:space="preserve">Endurecedor de piso</t>
  </si>
  <si>
    <t xml:space="preserve">15.04</t>
  </si>
  <si>
    <t xml:space="preserve">Bicipuerto subterráneo (5,000 lugares)</t>
  </si>
  <si>
    <t xml:space="preserve">Rack de bicicleta</t>
  </si>
  <si>
    <t xml:space="preserve">16.01</t>
  </si>
  <si>
    <t xml:space="preserve">Explanada perimetral de piedra (adoquín de cantera)</t>
  </si>
  <si>
    <t xml:space="preserve">Piedra / adoquín</t>
  </si>
  <si>
    <t xml:space="preserve">16.02</t>
  </si>
  <si>
    <t xml:space="preserve">Pisos de piedra en plaza interior, brechas y cañón</t>
  </si>
  <si>
    <t xml:space="preserve">Piedra</t>
  </si>
  <si>
    <t xml:space="preserve">16.03</t>
  </si>
  <si>
    <t xml:space="preserve">Carril de bomberos (concreto estampado reforzado)</t>
  </si>
  <si>
    <t xml:space="preserve">Concreto estampado</t>
  </si>
  <si>
    <t xml:space="preserve">16.04</t>
  </si>
  <si>
    <t xml:space="preserve">Jardines de la plaza interior (tierra, plantas nativas, riego por goteo)</t>
  </si>
  <si>
    <t xml:space="preserve">Plantas nativas + sustrato</t>
  </si>
  <si>
    <t xml:space="preserve">16.05</t>
  </si>
  <si>
    <t xml:space="preserve">Azotea verde: impermeabilización antirraíz, drenaje y filtro</t>
  </si>
  <si>
    <t xml:space="preserve">16.06</t>
  </si>
  <si>
    <t xml:space="preserve">Azotea verde: tierra preparada</t>
  </si>
  <si>
    <t xml:space="preserve">Sustrato ligero</t>
  </si>
  <si>
    <t xml:space="preserve">16.07</t>
  </si>
  <si>
    <t xml:space="preserve">Azotea verde: riego por goteo automatizado con agua de reúso</t>
  </si>
  <si>
    <t xml:space="preserve">Sistema de riego</t>
  </si>
  <si>
    <t xml:space="preserve">16.08</t>
  </si>
  <si>
    <t xml:space="preserve">Pista de trote y senderos de la azotea</t>
  </si>
  <si>
    <t xml:space="preserve">Pavimento de caucho / piedra</t>
  </si>
  <si>
    <t xml:space="preserve">16.09</t>
  </si>
  <si>
    <t xml:space="preserve">Árboles nativos de 4–6 m (incluye cepa, tutor y riego)</t>
  </si>
  <si>
    <t xml:space="preserve">Árbol nativo</t>
  </si>
  <si>
    <t xml:space="preserve">16.10</t>
  </si>
  <si>
    <t xml:space="preserve">Cascada, canal y estanque (bombas, filtración, iluminación)</t>
  </si>
  <si>
    <t xml:space="preserve">Equipo de fuentes</t>
  </si>
  <si>
    <t xml:space="preserve">16.11</t>
  </si>
  <si>
    <t xml:space="preserve">Mobiliario urbano (bancas, bebederos, bolardos, botes de separación)</t>
  </si>
  <si>
    <t xml:space="preserve">Mobiliario urbano</t>
  </si>
  <si>
    <t xml:space="preserve">17.01</t>
  </si>
  <si>
    <t xml:space="preserve">Clavo para cimbra (2½", 3" y 4")</t>
  </si>
  <si>
    <t xml:space="preserve">Clavo de acero</t>
  </si>
  <si>
    <t xml:space="preserve">17.02</t>
  </si>
  <si>
    <t xml:space="preserve">Alambre recocido calibre 16 para amarres</t>
  </si>
  <si>
    <t xml:space="preserve">Alambre recocido</t>
  </si>
  <si>
    <t xml:space="preserve">17.03</t>
  </si>
  <si>
    <t xml:space="preserve">Silletas, separadores y calzas de concreto</t>
  </si>
  <si>
    <t xml:space="preserve">Silleta plástica / de concreto</t>
  </si>
  <si>
    <t xml:space="preserve">17.04</t>
  </si>
  <si>
    <t xml:space="preserve">Desmoldante para cimbra</t>
  </si>
  <si>
    <t xml:space="preserve">L</t>
  </si>
  <si>
    <t xml:space="preserve">Desmoldante</t>
  </si>
  <si>
    <t xml:space="preserve">17.05</t>
  </si>
  <si>
    <t xml:space="preserve">Triplay de cimbra y polines (reposición)</t>
  </si>
  <si>
    <t xml:space="preserve">Triplay de pino y polines</t>
  </si>
  <si>
    <t xml:space="preserve">17.06</t>
  </si>
  <si>
    <t xml:space="preserve">Membrana de curado para concreto</t>
  </si>
  <si>
    <t xml:space="preserve">Membrana de curado</t>
  </si>
  <si>
    <t xml:space="preserve">17.07</t>
  </si>
  <si>
    <t xml:space="preserve">Aditivo superfluidificante e impermeabilizante integral</t>
  </si>
  <si>
    <t xml:space="preserve">Aditivo para concreto</t>
  </si>
  <si>
    <t xml:space="preserve">17.08</t>
  </si>
  <si>
    <t xml:space="preserve">Tornillería de alta resistencia A325/A490 con tuercas y rondanas</t>
  </si>
  <si>
    <t xml:space="preserve">Tornillo A325</t>
  </si>
  <si>
    <t xml:space="preserve">17.09</t>
  </si>
  <si>
    <t xml:space="preserve">Soldadura (electrodo E7018 y microalambre)</t>
  </si>
  <si>
    <t xml:space="preserve">Electrodo E7018</t>
  </si>
  <si>
    <t xml:space="preserve">17.10</t>
  </si>
  <si>
    <t xml:space="preserve">Primario anticorrosivo y esmalte para acero</t>
  </si>
  <si>
    <t xml:space="preserve">Primario epóxico + esmalte</t>
  </si>
  <si>
    <t xml:space="preserve">17.11</t>
  </si>
  <si>
    <t xml:space="preserve">Pintura intumescente (resistencia al fuego 90 min)</t>
  </si>
  <si>
    <t xml:space="preserve">Pintura intumescente</t>
  </si>
  <si>
    <t xml:space="preserve">17.12</t>
  </si>
  <si>
    <t xml:space="preserve">Discos de corte y desbaste</t>
  </si>
  <si>
    <t xml:space="preserve">Disco abrasivo</t>
  </si>
  <si>
    <t xml:space="preserve">17.13</t>
  </si>
  <si>
    <t xml:space="preserve">Sellador de poliuretano/silicón estructural en fachadas</t>
  </si>
  <si>
    <t xml:space="preserve">Sellador</t>
  </si>
  <si>
    <t xml:space="preserve">17.14</t>
  </si>
  <si>
    <t xml:space="preserve">Anclas químicas y taquetes para fachadas</t>
  </si>
  <si>
    <t xml:space="preserve">Ancla química</t>
  </si>
  <si>
    <t xml:space="preserve">17.15</t>
  </si>
  <si>
    <t xml:space="preserve">Cinta, plástico de protección, lija, brochas y herramienta menor</t>
  </si>
  <si>
    <t xml:space="preserve">Herramienta menor</t>
  </si>
  <si>
    <t xml:space="preserve">17.16</t>
  </si>
  <si>
    <t xml:space="preserve">Equipo de protección personal y seguridad de obra</t>
  </si>
  <si>
    <t xml:space="preserve">EPP</t>
  </si>
  <si>
    <t xml:space="preserve">18.01</t>
  </si>
  <si>
    <t xml:space="preserve">Laboratorio de control de calidad (concreto, acero, soldadura, suelos)</t>
  </si>
  <si>
    <t xml:space="preserve">Servicio de laboratorio</t>
  </si>
  <si>
    <t xml:space="preserve">18.02</t>
  </si>
  <si>
    <t xml:space="preserve">Pruebas, balanceo y puesta en marcha de instalaciones (commissioning)</t>
  </si>
  <si>
    <t xml:space="preserve">Servicio de commissioning</t>
  </si>
  <si>
    <t xml:space="preserve">18.03</t>
  </si>
  <si>
    <t xml:space="preserve">Certificación LEED / EDGE y modelado energético</t>
  </si>
  <si>
    <t xml:space="preserve">Consultoría</t>
  </si>
  <si>
    <t xml:space="preserve">18.04</t>
  </si>
  <si>
    <t xml:space="preserve">Certificación FIFA / pruebas de iluminación, sonido y evacuación</t>
  </si>
  <si>
    <t xml:space="preserve">COSTO DIRECTO TOTAL</t>
  </si>
  <si>
    <t xml:space="preserve">Lista de materiales e insumos (suma de todas las partidas)</t>
  </si>
  <si>
    <t xml:space="preserve">Partidas</t>
  </si>
  <si>
    <t xml:space="preserve">TOTAL</t>
  </si>
  <si>
    <t xml:space="preserve">Supuestos y factores (celdas azules = editables)</t>
  </si>
  <si>
    <t xml:space="preserve">Supuesto</t>
  </si>
  <si>
    <t xml:space="preserve">Valor</t>
  </si>
  <si>
    <t xml:space="preserve">Nota</t>
  </si>
  <si>
    <t xml:space="preserve">tc</t>
  </si>
  <si>
    <t xml:space="preserve">Tipo de cambio</t>
  </si>
  <si>
    <t xml:space="preserve">MXN/USD</t>
  </si>
  <si>
    <t xml:space="preserve">Supuesto editable; actualízalo al día de la cotización</t>
  </si>
  <si>
    <t xml:space="preserve">pct_ind</t>
  </si>
  <si>
    <t xml:space="preserve">Indirectos de obra (campo y oficina)</t>
  </si>
  <si>
    <t xml:space="preserve">%</t>
  </si>
  <si>
    <t xml:space="preserve">Típico 10–15 % en obra mayor</t>
  </si>
  <si>
    <t xml:space="preserve">pct_util</t>
  </si>
  <si>
    <t xml:space="preserve">Típico 6–10 %</t>
  </si>
  <si>
    <t xml:space="preserve">pct_proy</t>
  </si>
  <si>
    <t xml:space="preserve">Arquitectura, estructura, MEP, especialidades</t>
  </si>
  <si>
    <t xml:space="preserve">pct_lic</t>
  </si>
  <si>
    <t xml:space="preserve">Licencias, permisos, DRO y corresponsables</t>
  </si>
  <si>
    <t xml:space="preserve">pct_sup</t>
  </si>
  <si>
    <t xml:space="preserve">Supervisión y gerencia de proyecto</t>
  </si>
  <si>
    <t xml:space="preserve">pct_cont</t>
  </si>
  <si>
    <t xml:space="preserve">Por ser estimado de concepto (±25 %)</t>
  </si>
  <si>
    <t xml:space="preserve">iva</t>
  </si>
  <si>
    <t xml:space="preserve">meses</t>
  </si>
  <si>
    <t xml:space="preserve">Duración de obra</t>
  </si>
  <si>
    <t xml:space="preserve">abund</t>
  </si>
  <si>
    <t xml:space="preserve">Abundamiento de material excavado</t>
  </si>
  <si>
    <t xml:space="preserve">factor</t>
  </si>
  <si>
    <t xml:space="preserve">prof_exc</t>
  </si>
  <si>
    <t xml:space="preserve">Profundidad de excavación (12 m + 1 m de cimentación)</t>
  </si>
  <si>
    <t xml:space="preserve">prof_muro</t>
  </si>
  <si>
    <t xml:space="preserve">Profundidad del muro Milán</t>
  </si>
  <si>
    <t xml:space="preserve">e_muro</t>
  </si>
  <si>
    <t xml:space="preserve">Espesor del muro Milán</t>
  </si>
  <si>
    <t xml:space="preserve">e_cim</t>
  </si>
  <si>
    <t xml:space="preserve">Espesor de losa de cimentación</t>
  </si>
  <si>
    <t xml:space="preserve">n_pilas</t>
  </si>
  <si>
    <t xml:space="preserve">Pilas de cimentación Ø1.2 m</t>
  </si>
  <si>
    <t xml:space="preserve">2 por columna del estadio, 1 por columna de la plaza, 4 por núcleo</t>
  </si>
  <si>
    <t xml:space="preserve">L_pila</t>
  </si>
  <si>
    <t xml:space="preserve">Longitud de pila</t>
  </si>
  <si>
    <t xml:space="preserve">Depende del estudio de mecánica de suelos</t>
  </si>
  <si>
    <t xml:space="preserve">e_grada1</t>
  </si>
  <si>
    <t xml:space="preserve">Espesor de losa de grada 1 (sobre relleno)</t>
  </si>
  <si>
    <t xml:space="preserve">e_grada23</t>
  </si>
  <si>
    <t xml:space="preserve">Espesor equivalente gradas 2 y 3 (prefabricados + trabes)</t>
  </si>
  <si>
    <t xml:space="preserve">f_incl</t>
  </si>
  <si>
    <t xml:space="preserve">Factor de inclinación de gradas</t>
  </si>
  <si>
    <t xml:space="preserve">e_vest</t>
  </si>
  <si>
    <t xml:space="preserve">Espesor equivalente losas de vestíbulos</t>
  </si>
  <si>
    <t xml:space="preserve">Losa postensada con capiteles</t>
  </si>
  <si>
    <t xml:space="preserve">e_P1</t>
  </si>
  <si>
    <t xml:space="preserve">Espesor equivalente losa P1</t>
  </si>
  <si>
    <t xml:space="preserve">e_plaza</t>
  </si>
  <si>
    <t xml:space="preserve">Espesor losa de plaza (carga de jardín y bomberos)</t>
  </si>
  <si>
    <t xml:space="preserve">e_sakbe</t>
  </si>
  <si>
    <t xml:space="preserve">Espesor equivalente entrepisos Plaza Sakbé</t>
  </si>
  <si>
    <t xml:space="preserve">Losa postensada</t>
  </si>
  <si>
    <t xml:space="preserve">e_azotea</t>
  </si>
  <si>
    <t xml:space="preserve">Espesor losa de azotea verde</t>
  </si>
  <si>
    <t xml:space="preserve">col_estac_m3</t>
  </si>
  <si>
    <t xml:space="preserve">Volumen por columna de estacionamiento (0.6×0.6×12 m)</t>
  </si>
  <si>
    <t xml:space="preserve">m³/pza</t>
  </si>
  <si>
    <t xml:space="preserve">col_sakbe_m3</t>
  </si>
  <si>
    <t xml:space="preserve">Volumen por columna de la plaza (0.8×0.8×57 m)</t>
  </si>
  <si>
    <t xml:space="preserve">nuc_est_m3</t>
  </si>
  <si>
    <t xml:space="preserve">Concreto por núcleo de escape del estadio</t>
  </si>
  <si>
    <t xml:space="preserve">42 m perímetro × 43 m × 0.30 m</t>
  </si>
  <si>
    <t xml:space="preserve">nuc_torre_m3</t>
  </si>
  <si>
    <t xml:space="preserve">Concreto por núcleo de elevadores en torre</t>
  </si>
  <si>
    <t xml:space="preserve">nuc_sakbe_m3</t>
  </si>
  <si>
    <t xml:space="preserve">Concreto por núcleo de la plaza</t>
  </si>
  <si>
    <t xml:space="preserve">38 m perímetro × 57 m × 0.30 m</t>
  </si>
  <si>
    <t xml:space="preserve">k_cim</t>
  </si>
  <si>
    <t xml:space="preserve">Acero de refuerzo en cimentación</t>
  </si>
  <si>
    <t xml:space="preserve">kg/m³</t>
  </si>
  <si>
    <t xml:space="preserve">k_muro</t>
  </si>
  <si>
    <t xml:space="preserve">Acero de refuerzo en muros</t>
  </si>
  <si>
    <t xml:space="preserve">k_pila</t>
  </si>
  <si>
    <t xml:space="preserve">Acero de refuerzo en pilas</t>
  </si>
  <si>
    <t xml:space="preserve">k_losa</t>
  </si>
  <si>
    <t xml:space="preserve">Acero de refuerzo en losas</t>
  </si>
  <si>
    <t xml:space="preserve">k_col</t>
  </si>
  <si>
    <t xml:space="preserve">Acero de refuerzo en columnas</t>
  </si>
  <si>
    <t xml:space="preserve">k_grada</t>
  </si>
  <si>
    <t xml:space="preserve">Acero de refuerzo en gradas</t>
  </si>
  <si>
    <t xml:space="preserve">k_post</t>
  </si>
  <si>
    <t xml:space="preserve">Torón de postensado</t>
  </si>
  <si>
    <t xml:space="preserve">kg/m² de losa</t>
  </si>
  <si>
    <t xml:space="preserve">c_losa</t>
  </si>
  <si>
    <t xml:space="preserve">Cimbra en losas</t>
  </si>
  <si>
    <t xml:space="preserve">m²/m³</t>
  </si>
  <si>
    <t xml:space="preserve">c_muro</t>
  </si>
  <si>
    <t xml:space="preserve">Cimbra en muros y núcleos</t>
  </si>
  <si>
    <t xml:space="preserve">c_col</t>
  </si>
  <si>
    <t xml:space="preserve">Cimbra en columnas</t>
  </si>
  <si>
    <t xml:space="preserve">c_grada</t>
  </si>
  <si>
    <t xml:space="preserve">Cimbra en gradas</t>
  </si>
  <si>
    <t xml:space="preserve">c_cim</t>
  </si>
  <si>
    <t xml:space="preserve">Cimbra en cimentación (fronteras)</t>
  </si>
  <si>
    <t xml:space="preserve">pct_madera</t>
  </si>
  <si>
    <t xml:space="preserve">Fracción de cimbra de madera (resto metálica)</t>
  </si>
  <si>
    <t xml:space="preserve">w_cubierta</t>
  </si>
  <si>
    <t xml:space="preserve">Acero de la cubierta fija</t>
  </si>
  <si>
    <t xml:space="preserve">kg/m²</t>
  </si>
  <si>
    <t xml:space="preserve">Armaduras radiales, anillos y estructura secundaria</t>
  </si>
  <si>
    <t xml:space="preserve">w_retractil</t>
  </si>
  <si>
    <t xml:space="preserve">Acero de las hojas retráctiles</t>
  </si>
  <si>
    <t xml:space="preserve">f_viga_riel</t>
  </si>
  <si>
    <t xml:space="preserve">Fracción de acero en vigas-riel cajón</t>
  </si>
  <si>
    <t xml:space="preserve">f_glulam</t>
  </si>
  <si>
    <t xml:space="preserve">Fracción de madera laminada en árboles estructurales</t>
  </si>
  <si>
    <t xml:space="preserve">Troncos huecos armados</t>
  </si>
  <si>
    <t xml:space="preserve">f_lvl</t>
  </si>
  <si>
    <t xml:space="preserve">Fracción de madera en aletas</t>
  </si>
  <si>
    <t xml:space="preserve">w_balcon</t>
  </si>
  <si>
    <t xml:space="preserve">Acero en balcones del cañón</t>
  </si>
  <si>
    <t xml:space="preserve">w_puente</t>
  </si>
  <si>
    <t xml:space="preserve">Acero en puentes</t>
  </si>
  <si>
    <t xml:space="preserve">w_marq</t>
  </si>
  <si>
    <t xml:space="preserve">Acero en marquesinas</t>
  </si>
  <si>
    <t xml:space="preserve">w_helice</t>
  </si>
  <si>
    <t xml:space="preserve">Acero en escaleras helicoidales</t>
  </si>
  <si>
    <t xml:space="preserve">w_pergola</t>
  </si>
  <si>
    <t xml:space="preserve">Acero en pérgolas</t>
  </si>
  <si>
    <t xml:space="preserve">pct_bipv</t>
  </si>
  <si>
    <t xml:space="preserve">Fracción de fachada exterior con vidrio fotovoltaico</t>
  </si>
  <si>
    <t xml:space="preserve">suelo_azotea</t>
  </si>
  <si>
    <t xml:space="preserve">Espesor de tierra en azotea verde</t>
  </si>
  <si>
    <t xml:space="preserve">clavo</t>
  </si>
  <si>
    <t xml:space="preserve">Clavo por m² de cimbra de madera</t>
  </si>
  <si>
    <t xml:space="preserve">alambre</t>
  </si>
  <si>
    <t xml:space="preserve">Alambre recocido por tonelada de varilla</t>
  </si>
  <si>
    <t xml:space="preserve">kg/t</t>
  </si>
  <si>
    <t xml:space="preserve">silletas</t>
  </si>
  <si>
    <t xml:space="preserve">Silletas y separadores por m² de losa</t>
  </si>
  <si>
    <t xml:space="preserve">pza/m²</t>
  </si>
  <si>
    <t xml:space="preserve">desmold</t>
  </si>
  <si>
    <t xml:space="preserve">Desmoldante por m² de cimbra</t>
  </si>
  <si>
    <t xml:space="preserve">L/m²</t>
  </si>
  <si>
    <t xml:space="preserve">curado</t>
  </si>
  <si>
    <t xml:space="preserve">Membrana de curado por m² de concreto expuesto</t>
  </si>
  <si>
    <t xml:space="preserve">aditivo</t>
  </si>
  <si>
    <t xml:space="preserve">Aditivo superfluidificante por m³ de concreto</t>
  </si>
  <si>
    <t xml:space="preserve">L/m³</t>
  </si>
  <si>
    <t xml:space="preserve">tornillo</t>
  </si>
  <si>
    <t xml:space="preserve">Tornillería alta resistencia (% del acero estructural)</t>
  </si>
  <si>
    <t xml:space="preserve">soldadura</t>
  </si>
  <si>
    <t xml:space="preserve">Soldadura (% del acero estructural)</t>
  </si>
  <si>
    <t xml:space="preserve">pintura</t>
  </si>
  <si>
    <t xml:space="preserve">Superficie de pintura por tonelada de acero</t>
  </si>
  <si>
    <t xml:space="preserve">m²/t</t>
  </si>
  <si>
    <t xml:space="preserve">intum</t>
  </si>
  <si>
    <t xml:space="preserve">Fracción de acero con pintura intumescente</t>
  </si>
  <si>
    <t xml:space="preserve">sellador</t>
  </si>
  <si>
    <t xml:space="preserve">Sellador por m² de fachada</t>
  </si>
  <si>
    <t xml:space="preserve">m/m²</t>
  </si>
  <si>
    <t xml:space="preserve">anclas</t>
  </si>
  <si>
    <t xml:space="preserve">Anclas químicas por m² de fachada</t>
  </si>
  <si>
    <t xml:space="preserve">discos</t>
  </si>
  <si>
    <t xml:space="preserve">Discos de corte/desbaste por tonelada de acero</t>
  </si>
  <si>
    <t xml:space="preserve">pza/t</t>
  </si>
  <si>
    <t xml:space="preserve">Cantidades medidas en el modelo de Blender (estadio_yaxche.py)</t>
  </si>
  <si>
    <t xml:space="preserve">Descripción</t>
  </si>
  <si>
    <t xml:space="preserve">Fuente</t>
  </si>
  <si>
    <t xml:space="preserve">sitio_m2</t>
  </si>
  <si>
    <t xml:space="preserve">Superficie total del predio (estadio + plaza + explanada)</t>
  </si>
  <si>
    <t xml:space="preserve">Medido del modelo 3D v3 (geometría / conteo)</t>
  </si>
  <si>
    <t xml:space="preserve">huella_sub_m2</t>
  </si>
  <si>
    <t xml:space="preserve">Huella subterránea (dentro del muro perimetral)</t>
  </si>
  <si>
    <t xml:space="preserve">perim_muro</t>
  </si>
  <si>
    <t xml:space="preserve">Perímetro del muro Milán</t>
  </si>
  <si>
    <t xml:space="preserve">perim_sitio</t>
  </si>
  <si>
    <t xml:space="preserve">Perímetro del predio</t>
  </si>
  <si>
    <t xml:space="preserve">t1_plan</t>
  </si>
  <si>
    <t xml:space="preserve">Grada 1: área en planta</t>
  </si>
  <si>
    <t xml:space="preserve">t2_plan</t>
  </si>
  <si>
    <t xml:space="preserve">Grada 2: área en planta</t>
  </si>
  <si>
    <t xml:space="preserve">t3_plan</t>
  </si>
  <si>
    <t xml:space="preserve">Grada 3: área en planta</t>
  </si>
  <si>
    <t xml:space="preserve">grada_sup</t>
  </si>
  <si>
    <t xml:space="preserve">Superficie escalonada de gradas (huellas + peraltes + pasillos)</t>
  </si>
  <si>
    <t xml:space="preserve">L0</t>
  </si>
  <si>
    <t xml:space="preserve">Vestíbulo L0 (planta)</t>
  </si>
  <si>
    <t xml:space="preserve">L05</t>
  </si>
  <si>
    <t xml:space="preserve">Mezzanine L0.5 (planta)</t>
  </si>
  <si>
    <t xml:space="preserve">L1</t>
  </si>
  <si>
    <t xml:space="preserve">Vestíbulo L1 (planta)</t>
  </si>
  <si>
    <t xml:space="preserve">L2</t>
  </si>
  <si>
    <t xml:space="preserve">Vestíbulo L2 (planta)</t>
  </si>
  <si>
    <t xml:space="preserve">B1</t>
  </si>
  <si>
    <t xml:space="preserve">Sótano del estadio a nivel campo (planta)</t>
  </si>
  <si>
    <t xml:space="preserve">estadio_gfa</t>
  </si>
  <si>
    <t xml:space="preserve">Área construida cerrada del estadio (vestíbulos + sótano)</t>
  </si>
  <si>
    <t xml:space="preserve">P1</t>
  </si>
  <si>
    <t xml:space="preserve">Losa de estacionamiento P1 (-6 m)</t>
  </si>
  <si>
    <t xml:space="preserve">plaza_losa</t>
  </si>
  <si>
    <t xml:space="preserve">Losa de plaza sobre estacionamiento (nivel 0)</t>
  </si>
  <si>
    <t xml:space="preserve">estac_m2</t>
  </si>
  <si>
    <t xml:space="preserve">Área de estacionamiento P1 + P2</t>
  </si>
  <si>
    <t xml:space="preserve">campo</t>
  </si>
  <si>
    <t xml:space="preserve">Zona de campo (125 × 84 m)</t>
  </si>
  <si>
    <t xml:space="preserve">perim_fachada</t>
  </si>
  <si>
    <t xml:space="preserve">Perímetro de la fachada del estadio</t>
  </si>
  <si>
    <t xml:space="preserve">perim_led</t>
  </si>
  <si>
    <t xml:space="preserve">Perímetro del anillo LED a ras de campo</t>
  </si>
  <si>
    <t xml:space="preserve">col_estac</t>
  </si>
  <si>
    <t xml:space="preserve">Columnas del estacionamiento</t>
  </si>
  <si>
    <t xml:space="preserve">ring_cols</t>
  </si>
  <si>
    <t xml:space="preserve">Columnas de la Plaza Sakbé (retícula 8.4 m)</t>
  </si>
  <si>
    <t xml:space="preserve">anillo_gfa</t>
  </si>
  <si>
    <t xml:space="preserve">Área construida Plaza Sakbé</t>
  </si>
  <si>
    <t xml:space="preserve">azotea</t>
  </si>
  <si>
    <t xml:space="preserve">Parque en la azotea de la Plaza Sakbé</t>
  </si>
  <si>
    <t xml:space="preserve">fach_ext</t>
  </si>
  <si>
    <t xml:space="preserve">Fachada exterior de la plaza (semi-espejo)</t>
  </si>
  <si>
    <t xml:space="preserve">fach_est</t>
  </si>
  <si>
    <t xml:space="preserve">Fachada de la plaza hacia el estadio (semi-espejo)</t>
  </si>
  <si>
    <t xml:space="preserve">fach_canon</t>
  </si>
  <si>
    <t xml:space="preserve">Fachadas del cañón (vidrio claro)</t>
  </si>
  <si>
    <t xml:space="preserve">aparadores</t>
  </si>
  <si>
    <t xml:space="preserve">cabeceras_espejo</t>
  </si>
  <si>
    <t xml:space="preserve">cabeceras_madera</t>
  </si>
  <si>
    <t xml:space="preserve">Muros de cabecera en portales y ventanas urbanas (madera)</t>
  </si>
  <si>
    <t xml:space="preserve">balcones</t>
  </si>
  <si>
    <t xml:space="preserve">Balcones-pasillo del cañón</t>
  </si>
  <si>
    <t xml:space="preserve">barandal_canon</t>
  </si>
  <si>
    <t xml:space="preserve">Barandal de vidrio en balcones del cañón</t>
  </si>
  <si>
    <t xml:space="preserve">barandal_azotea</t>
  </si>
  <si>
    <t xml:space="preserve">Barandal de vidrio en azotea</t>
  </si>
  <si>
    <t xml:space="preserve">puentes_canon</t>
  </si>
  <si>
    <t xml:space="preserve">Puentes en el cañón</t>
  </si>
  <si>
    <t xml:space="preserve">puentes_brecha</t>
  </si>
  <si>
    <t xml:space="preserve">Puentes peatonales sobre brechas (azotea)</t>
  </si>
  <si>
    <t xml:space="preserve">fachada_estadio</t>
  </si>
  <si>
    <t xml:space="preserve">Fachada doble piel del estadio (ambas pieles)</t>
  </si>
  <si>
    <t xml:space="preserve">aletas_vol</t>
  </si>
  <si>
    <t xml:space="preserve">Aletas paramétricas (volumen envolvente)</t>
  </si>
  <si>
    <t xml:space="preserve">arboles_vol</t>
  </si>
  <si>
    <t xml:space="preserve">Árboles estructurales (volumen envolvente)</t>
  </si>
  <si>
    <t xml:space="preserve">cubierta_etfe</t>
  </si>
  <si>
    <t xml:space="preserve">Cubierta fija ETFE</t>
  </si>
  <si>
    <t xml:space="preserve">cubierta_pv</t>
  </si>
  <si>
    <t xml:space="preserve">Cubierta fija con paneles solares</t>
  </si>
  <si>
    <t xml:space="preserve">techo_retractil</t>
  </si>
  <si>
    <t xml:space="preserve">Hojas del techo retráctil (ETFE)</t>
  </si>
  <si>
    <t xml:space="preserve">vigas_riel_vol</t>
  </si>
  <si>
    <t xml:space="preserve">Vigas-riel y cubo central (volumen envolvente)</t>
  </si>
  <si>
    <t xml:space="preserve">plafon</t>
  </si>
  <si>
    <t xml:space="preserve">Plafón acústico de madera</t>
  </si>
  <si>
    <t xml:space="preserve">halo</t>
  </si>
  <si>
    <t xml:space="preserve">Pantalla LED halo 360°</t>
  </si>
  <si>
    <t xml:space="preserve">palcos_vidrio</t>
  </si>
  <si>
    <t xml:space="preserve">torres_vidrio</t>
  </si>
  <si>
    <t xml:space="preserve">Vidrio de torres de circulación</t>
  </si>
  <si>
    <t xml:space="preserve">marquesinas</t>
  </si>
  <si>
    <t xml:space="preserve">helice</t>
  </si>
  <si>
    <t xml:space="preserve">Escaleras de doble hélice (superficie de rampa)</t>
  </si>
  <si>
    <t xml:space="preserve">descansos</t>
  </si>
  <si>
    <t xml:space="preserve">Descansos en torres</t>
  </si>
  <si>
    <t xml:space="preserve">columnas_estadio_vol</t>
  </si>
  <si>
    <t xml:space="preserve">Columnas del estadio</t>
  </si>
  <si>
    <t xml:space="preserve">butacas</t>
  </si>
  <si>
    <t xml:space="preserve">Butacas</t>
  </si>
  <si>
    <t xml:space="preserve">sillas_ruedas</t>
  </si>
  <si>
    <t xml:space="preserve">Lugares para silla de ruedas (+ asiento acompañante)</t>
  </si>
  <si>
    <t xml:space="preserve">aforo</t>
  </si>
  <si>
    <t xml:space="preserve">Aforo total</t>
  </si>
  <si>
    <t xml:space="preserve">personas</t>
  </si>
  <si>
    <t xml:space="preserve">cajones</t>
  </si>
  <si>
    <t xml:space="preserve">Cajones de estacionamiento P1</t>
  </si>
  <si>
    <t xml:space="preserve">kioscos</t>
  </si>
  <si>
    <t xml:space="preserve">mod_san</t>
  </si>
  <si>
    <t xml:space="preserve">Módulos de sanitarios (10 × 10 m)</t>
  </si>
  <si>
    <t xml:space="preserve">mod_ali</t>
  </si>
  <si>
    <t xml:space="preserve">Módulos de alimentos</t>
  </si>
  <si>
    <t xml:space="preserve">mod_med</t>
  </si>
  <si>
    <t xml:space="preserve">Módulos de primeros auxilios</t>
  </si>
  <si>
    <t xml:space="preserve">mod_sen</t>
  </si>
  <si>
    <t xml:space="preserve">Salas sensoriales</t>
  </si>
  <si>
    <t xml:space="preserve">mod_lac</t>
  </si>
  <si>
    <t xml:space="preserve">Salas de lactancia y familia</t>
  </si>
  <si>
    <t xml:space="preserve">muebles_san</t>
  </si>
  <si>
    <t xml:space="preserve">Muebles sanitarios (WC, mingitorio, lavabo)</t>
  </si>
  <si>
    <t xml:space="preserve">esc_estadio</t>
  </si>
  <si>
    <t xml:space="preserve">Escaleras eléctricas del estadio (≈9 m de altura)</t>
  </si>
  <si>
    <t xml:space="preserve">esc_sakbe</t>
  </si>
  <si>
    <t xml:space="preserve">Escaleras eléctricas del cañón (4.5 m de altura)</t>
  </si>
  <si>
    <t xml:space="preserve">elev_estadio</t>
  </si>
  <si>
    <t xml:space="preserve">Elevadores del estadio (torres + núcleos)</t>
  </si>
  <si>
    <t xml:space="preserve">nucleos_sakbe</t>
  </si>
  <si>
    <t xml:space="preserve">Núcleos de circulación de la plaza</t>
  </si>
  <si>
    <t xml:space="preserve">elev_panor</t>
  </si>
  <si>
    <t xml:space="preserve">pv_kwp</t>
  </si>
  <si>
    <t xml:space="preserve">Fotovoltaico en cubierta del estadio</t>
  </si>
  <si>
    <t xml:space="preserve">pv_perg_kwp</t>
  </si>
  <si>
    <t xml:space="preserve">Fotovoltaico en pérgolas de la azotea</t>
  </si>
  <si>
    <t xml:space="preserve">bipv_kwp</t>
  </si>
  <si>
    <t xml:space="preserve">Fotovoltaico integrado en fachada (BIPV)</t>
  </si>
  <si>
    <t xml:space="preserve">pergolas</t>
  </si>
  <si>
    <t xml:space="preserve">Pérgolas solares</t>
  </si>
  <si>
    <t xml:space="preserve">cisternas</t>
  </si>
  <si>
    <t xml:space="preserve">Cisternas de agua de lluvia</t>
  </si>
  <si>
    <t xml:space="preserve">explanada</t>
  </si>
  <si>
    <t xml:space="preserve">Explanada perimetral</t>
  </si>
  <si>
    <t xml:space="preserve">plaza_piedra</t>
  </si>
  <si>
    <t xml:space="preserve">jardines</t>
  </si>
  <si>
    <t xml:space="preserve">Jardines (pasto, setos, flores)</t>
  </si>
  <si>
    <t xml:space="preserve">carril_bomberos</t>
  </si>
  <si>
    <t xml:space="preserve">Carril de bomberos</t>
  </si>
  <si>
    <t xml:space="preserve">agua_canal</t>
  </si>
  <si>
    <t xml:space="preserve">Canal del cañón y estanque</t>
  </si>
  <si>
    <t xml:space="preserve">pista_trote</t>
  </si>
  <si>
    <t xml:space="preserve">Pista de trote en azotea</t>
  </si>
  <si>
    <t xml:space="preserve">sendero_azotea</t>
  </si>
  <si>
    <t xml:space="preserve">Sendero en azotea</t>
  </si>
  <si>
    <t xml:space="preserve">arboles</t>
  </si>
  <si>
    <t xml:space="preserve">Árboles plantados</t>
  </si>
  <si>
    <t xml:space="preserve">arena_temp</t>
  </si>
  <si>
    <t xml:space="preserve">Butacas de gradas telescópicas (modo arena)</t>
  </si>
  <si>
    <t xml:space="preserve">Medidas generales (largo × ancho)</t>
  </si>
  <si>
    <t xml:space="preserve">Elemento</t>
  </si>
  <si>
    <t xml:space="preserve">Largo (m)</t>
  </si>
  <si>
    <t xml:space="preserve">Ancho (m)</t>
  </si>
  <si>
    <t xml:space="preserve">Área (m²)</t>
  </si>
  <si>
    <t xml:space="preserve">Cancha</t>
  </si>
  <si>
    <t xml:space="preserve">Zona de campo</t>
  </si>
  <si>
    <t xml:space="preserve">Estadio (fachada)</t>
  </si>
  <si>
    <t xml:space="preserve">Estadio con cubierta</t>
  </si>
  <si>
    <t xml:space="preserve">Plaza Sakbé (borde exterior)</t>
  </si>
  <si>
    <t xml:space="preserve">Todo con explanada</t>
  </si>
  <si>
    <t xml:space="preserve">Área real del predio (forma superelíptica)</t>
  </si>
  <si>
    <t xml:space="preserve">Nota: largo × ancho es el rectángulo que lo contiene; el área real es menor porque las esquinas son redondeadas.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</si>
</sst>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\$#,##0"/>
    <numFmt numFmtId="168" formatCode="#,##0;\(#,##0\);\-"/>
    <numFmt numFmtId="169" formatCode="General"/>
    <numFmt numFmtId="170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8F1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3D"/>
          <bgColor rgb="FF000000"/>
        </patternFill>
      </fill>
    </dxf>
    <dxf>
      <fill>
        <patternFill patternType="solid">
          <fgColor rgb="FFE8F1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8F1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9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SUMIFS(Presupuesto!$H$5:$H$231,Presupuesto!$A$5:$A$231,$A5,Presupuesto!$B$5:$B$231,"Estadio")</f>
        <v>0</v>
      </c>
      <c r="C5" s="5" t="n">
        <f aca="false">SUMIFS(Presupuesto!$H$5:$H$231,Presupuesto!$A$5:$A$231,$A5,Presupuesto!$B$5:$B$231,"Plaza Sakbé")</f>
        <v>0</v>
      </c>
      <c r="D5" s="5" t="n">
        <f aca="false">SUMIFS(Presupuesto!$H$5:$H$231,Presupuesto!$A$5:$A$231,$A5,Presupuesto!$B$5:$B$231,"Subterráneo y obra común")</f>
        <v>1114515036.02</v>
      </c>
      <c r="E5" s="6" t="n">
        <f aca="false">SUM(B5:D5)</f>
        <v>1114515036.02</v>
      </c>
      <c r="F5" s="7" t="n">
        <f aca="false">IF($E$23=0,0,E5/$E$23)</f>
        <v>0.029932243799399</v>
      </c>
    </row>
    <row r="6" customFormat="false" ht="15" hidden="false" customHeight="false" outlineLevel="0" collapsed="false">
      <c r="A6" s="4" t="s">
        <v>9</v>
      </c>
      <c r="B6" s="5" t="n">
        <f aca="false">SUMIFS(Presupuesto!$H$5:$H$231,Presupuesto!$A$5:$A$231,$A6,Presupuesto!$B$5:$B$231,"Estadio")</f>
        <v>44185759.2</v>
      </c>
      <c r="C6" s="5" t="n">
        <f aca="false">SUMIFS(Presupuesto!$H$5:$H$231,Presupuesto!$A$5:$A$231,$A6,Presupuesto!$B$5:$B$231,"Plaza Sakbé")</f>
        <v>0</v>
      </c>
      <c r="D6" s="5" t="n">
        <f aca="false">SUMIFS(Presupuesto!$H$5:$H$231,Presupuesto!$A$5:$A$231,$A6,Presupuesto!$B$5:$B$231,"Subterráneo y obra común")</f>
        <v>3521605439.3625</v>
      </c>
      <c r="E6" s="6" t="n">
        <f aca="false">SUM(B6:D6)</f>
        <v>3565791198.5625</v>
      </c>
      <c r="F6" s="7" t="n">
        <f aca="false">IF($E$23=0,0,E6/$E$23)</f>
        <v>0.0957655375151069</v>
      </c>
    </row>
    <row r="7" customFormat="false" ht="15" hidden="false" customHeight="false" outlineLevel="0" collapsed="false">
      <c r="A7" s="4" t="s">
        <v>10</v>
      </c>
      <c r="B7" s="5" t="n">
        <f aca="false">SUMIFS(Presupuesto!$H$5:$H$231,Presupuesto!$A$5:$A$231,$A7,Presupuesto!$B$5:$B$231,"Estadio")</f>
        <v>1484156112.805</v>
      </c>
      <c r="C7" s="5" t="n">
        <f aca="false">SUMIFS(Presupuesto!$H$5:$H$231,Presupuesto!$A$5:$A$231,$A7,Presupuesto!$B$5:$B$231,"Plaza Sakbé")</f>
        <v>2040380731.32</v>
      </c>
      <c r="D7" s="5" t="n">
        <f aca="false">SUMIFS(Presupuesto!$H$5:$H$231,Presupuesto!$A$5:$A$231,$A7,Presupuesto!$B$5:$B$231,"Subterráneo y obra común")</f>
        <v>2178073673.935</v>
      </c>
      <c r="E7" s="6" t="n">
        <f aca="false">SUM(B7:D7)</f>
        <v>5702610518.06</v>
      </c>
      <c r="F7" s="7" t="n">
        <f aca="false">IF($E$23=0,0,E7/$E$23)</f>
        <v>0.153153544638698</v>
      </c>
    </row>
    <row r="8" customFormat="false" ht="15" hidden="false" customHeight="false" outlineLevel="0" collapsed="false">
      <c r="A8" s="4" t="s">
        <v>11</v>
      </c>
      <c r="B8" s="5" t="n">
        <f aca="false">SUMIFS(Presupuesto!$H$5:$H$231,Presupuesto!$A$5:$A$231,$A8,Presupuesto!$B$5:$B$231,"Estadio")</f>
        <v>947283576.9575</v>
      </c>
      <c r="C8" s="5" t="n">
        <f aca="false">SUMIFS(Presupuesto!$H$5:$H$231,Presupuesto!$A$5:$A$231,$A8,Presupuesto!$B$5:$B$231,"Plaza Sakbé")</f>
        <v>531936455.4</v>
      </c>
      <c r="D8" s="5" t="n">
        <f aca="false">SUMIFS(Presupuesto!$H$5:$H$231,Presupuesto!$A$5:$A$231,$A8,Presupuesto!$B$5:$B$231,"Subterráneo y obra común")</f>
        <v>0</v>
      </c>
      <c r="E8" s="6" t="n">
        <f aca="false">SUM(B8:D8)</f>
        <v>1479220032.3575</v>
      </c>
      <c r="F8" s="7" t="n">
        <f aca="false">IF($E$23=0,0,E8/$E$23)</f>
        <v>0.0397270321265411</v>
      </c>
    </row>
    <row r="9" customFormat="false" ht="15" hidden="false" customHeight="false" outlineLevel="0" collapsed="false">
      <c r="A9" s="4" t="s">
        <v>12</v>
      </c>
      <c r="B9" s="5" t="n">
        <f aca="false">SUMIFS(Presupuesto!$H$5:$H$231,Presupuesto!$A$5:$A$231,$A9,Presupuesto!$B$5:$B$231,"Estadio")</f>
        <v>3873454184.9</v>
      </c>
      <c r="C9" s="5" t="n">
        <f aca="false">SUMIFS(Presupuesto!$H$5:$H$231,Presupuesto!$A$5:$A$231,$A9,Presupuesto!$B$5:$B$231,"Plaza Sakbé")</f>
        <v>0</v>
      </c>
      <c r="D9" s="5" t="n">
        <f aca="false">SUMIFS(Presupuesto!$H$5:$H$231,Presupuesto!$A$5:$A$231,$A9,Presupuesto!$B$5:$B$231,"Subterráneo y obra común")</f>
        <v>0</v>
      </c>
      <c r="E9" s="6" t="n">
        <f aca="false">SUM(B9:D9)</f>
        <v>3873454184.9</v>
      </c>
      <c r="F9" s="7" t="n">
        <f aca="false">IF($E$23=0,0,E9/$E$23)</f>
        <v>0.104028363244216</v>
      </c>
    </row>
    <row r="10" customFormat="false" ht="15" hidden="false" customHeight="false" outlineLevel="0" collapsed="false">
      <c r="A10" s="4" t="s">
        <v>13</v>
      </c>
      <c r="B10" s="5" t="n">
        <f aca="false">SUMIFS(Presupuesto!$H$5:$H$231,Presupuesto!$A$5:$A$231,$A10,Presupuesto!$B$5:$B$231,"Estadio")</f>
        <v>1749056398.33333</v>
      </c>
      <c r="C10" s="5" t="n">
        <f aca="false">SUMIFS(Presupuesto!$H$5:$H$231,Presupuesto!$A$5:$A$231,$A10,Presupuesto!$B$5:$B$231,"Plaza Sakbé")</f>
        <v>3342858787</v>
      </c>
      <c r="D10" s="5" t="n">
        <f aca="false">SUMIFS(Presupuesto!$H$5:$H$231,Presupuesto!$A$5:$A$231,$A10,Presupuesto!$B$5:$B$231,"Subterráneo y obra común")</f>
        <v>0</v>
      </c>
      <c r="E10" s="6" t="n">
        <f aca="false">SUM(B10:D10)</f>
        <v>5091915185.33333</v>
      </c>
      <c r="F10" s="7" t="n">
        <f aca="false">IF($E$23=0,0,E10/$E$23)</f>
        <v>0.136752257087112</v>
      </c>
    </row>
    <row r="11" customFormat="false" ht="15" hidden="false" customHeight="false" outlineLevel="0" collapsed="false">
      <c r="A11" s="4" t="s">
        <v>14</v>
      </c>
      <c r="B11" s="5" t="n">
        <f aca="false">SUMIFS(Presupuesto!$H$5:$H$231,Presupuesto!$A$5:$A$231,$A11,Presupuesto!$B$5:$B$231,"Estadio")</f>
        <v>1608408727.3</v>
      </c>
      <c r="C11" s="5" t="n">
        <f aca="false">SUMIFS(Presupuesto!$H$5:$H$231,Presupuesto!$A$5:$A$231,$A11,Presupuesto!$B$5:$B$231,"Plaza Sakbé")</f>
        <v>2231388395.994</v>
      </c>
      <c r="D11" s="5" t="n">
        <f aca="false">SUMIFS(Presupuesto!$H$5:$H$231,Presupuesto!$A$5:$A$231,$A11,Presupuesto!$B$5:$B$231,"Subterráneo y obra común")</f>
        <v>431028776.74</v>
      </c>
      <c r="E11" s="6" t="n">
        <f aca="false">SUM(B11:D11)</f>
        <v>4270825900.034</v>
      </c>
      <c r="F11" s="7" t="n">
        <f aca="false">IF($E$23=0,0,E11/$E$23)</f>
        <v>0.114700473240014</v>
      </c>
    </row>
    <row r="12" customFormat="false" ht="15" hidden="false" customHeight="false" outlineLevel="0" collapsed="false">
      <c r="A12" s="4" t="s">
        <v>15</v>
      </c>
      <c r="B12" s="5" t="n">
        <f aca="false">SUMIFS(Presupuesto!$H$5:$H$231,Presupuesto!$A$5:$A$231,$A12,Presupuesto!$B$5:$B$231,"Estadio")</f>
        <v>970110710</v>
      </c>
      <c r="C12" s="5" t="n">
        <f aca="false">SUMIFS(Presupuesto!$H$5:$H$231,Presupuesto!$A$5:$A$231,$A12,Presupuesto!$B$5:$B$231,"Plaza Sakbé")</f>
        <v>846349030</v>
      </c>
      <c r="D12" s="5" t="n">
        <f aca="false">SUMIFS(Presupuesto!$H$5:$H$231,Presupuesto!$A$5:$A$231,$A12,Presupuesto!$B$5:$B$231,"Subterráneo y obra común")</f>
        <v>952408000</v>
      </c>
      <c r="E12" s="6" t="n">
        <f aca="false">SUM(B12:D12)</f>
        <v>2768867740</v>
      </c>
      <c r="F12" s="7" t="n">
        <f aca="false">IF($E$23=0,0,E12/$E$23)</f>
        <v>0.0743627690640539</v>
      </c>
    </row>
    <row r="13" customFormat="false" ht="15" hidden="false" customHeight="false" outlineLevel="0" collapsed="false">
      <c r="A13" s="4" t="s">
        <v>16</v>
      </c>
      <c r="B13" s="5" t="n">
        <f aca="false">SUMIFS(Presupuesto!$H$5:$H$231,Presupuesto!$A$5:$A$231,$A13,Presupuesto!$B$5:$B$231,"Estadio")</f>
        <v>198959177</v>
      </c>
      <c r="C13" s="5" t="n">
        <f aca="false">SUMIFS(Presupuesto!$H$5:$H$231,Presupuesto!$A$5:$A$231,$A13,Presupuesto!$B$5:$B$231,"Plaza Sakbé")</f>
        <v>366779857</v>
      </c>
      <c r="D13" s="5" t="n">
        <f aca="false">SUMIFS(Presupuesto!$H$5:$H$231,Presupuesto!$A$5:$A$231,$A13,Presupuesto!$B$5:$B$231,"Subterráneo y obra común")</f>
        <v>369528243</v>
      </c>
      <c r="E13" s="6" t="n">
        <f aca="false">SUM(B13:D13)</f>
        <v>935267277</v>
      </c>
      <c r="F13" s="7" t="n">
        <f aca="false">IF($E$23=0,0,E13/$E$23)</f>
        <v>0.02511823281697</v>
      </c>
    </row>
    <row r="14" customFormat="false" ht="15" hidden="false" customHeight="false" outlineLevel="0" collapsed="false">
      <c r="A14" s="4" t="s">
        <v>17</v>
      </c>
      <c r="B14" s="5" t="n">
        <f aca="false">SUMIFS(Presupuesto!$H$5:$H$231,Presupuesto!$A$5:$A$231,$A14,Presupuesto!$B$5:$B$231,"Estadio")</f>
        <v>295843645.8</v>
      </c>
      <c r="C14" s="5" t="n">
        <f aca="false">SUMIFS(Presupuesto!$H$5:$H$231,Presupuesto!$A$5:$A$231,$A14,Presupuesto!$B$5:$B$231,"Plaza Sakbé")</f>
        <v>1003818556</v>
      </c>
      <c r="D14" s="5" t="n">
        <f aca="false">SUMIFS(Presupuesto!$H$5:$H$231,Presupuesto!$A$5:$A$231,$A14,Presupuesto!$B$5:$B$231,"Subterráneo y obra común")</f>
        <v>782591415.6</v>
      </c>
      <c r="E14" s="6" t="n">
        <f aca="false">SUM(B14:D14)</f>
        <v>2082253617.4</v>
      </c>
      <c r="F14" s="7" t="n">
        <f aca="false">IF($E$23=0,0,E14/$E$23)</f>
        <v>0.0559225500902788</v>
      </c>
    </row>
    <row r="15" customFormat="false" ht="15" hidden="false" customHeight="false" outlineLevel="0" collapsed="false">
      <c r="A15" s="4" t="s">
        <v>18</v>
      </c>
      <c r="B15" s="5" t="n">
        <f aca="false">SUMIFS(Presupuesto!$H$5:$H$231,Presupuesto!$A$5:$A$231,$A15,Presupuesto!$B$5:$B$231,"Estadio")</f>
        <v>0</v>
      </c>
      <c r="C15" s="5" t="n">
        <f aca="false">SUMIFS(Presupuesto!$H$5:$H$231,Presupuesto!$A$5:$A$231,$A15,Presupuesto!$B$5:$B$231,"Plaza Sakbé")</f>
        <v>0</v>
      </c>
      <c r="D15" s="5" t="n">
        <f aca="false">SUMIFS(Presupuesto!$H$5:$H$231,Presupuesto!$A$5:$A$231,$A15,Presupuesto!$B$5:$B$231,"Subterráneo y obra común")</f>
        <v>1021932991.6</v>
      </c>
      <c r="E15" s="6" t="n">
        <f aca="false">SUM(B15:D15)</f>
        <v>1021932991.6</v>
      </c>
      <c r="F15" s="7" t="n">
        <f aca="false">IF($E$23=0,0,E15/$E$23)</f>
        <v>0.0274457916336909</v>
      </c>
    </row>
    <row r="16" customFormat="false" ht="15" hidden="false" customHeight="false" outlineLevel="0" collapsed="false">
      <c r="A16" s="4" t="s">
        <v>19</v>
      </c>
      <c r="B16" s="5" t="n">
        <f aca="false">SUMIFS(Presupuesto!$H$5:$H$231,Presupuesto!$A$5:$A$231,$A16,Presupuesto!$B$5:$B$231,"Estadio")</f>
        <v>521200000</v>
      </c>
      <c r="C16" s="5" t="n">
        <f aca="false">SUMIFS(Presupuesto!$H$5:$H$231,Presupuesto!$A$5:$A$231,$A16,Presupuesto!$B$5:$B$231,"Plaza Sakbé")</f>
        <v>0</v>
      </c>
      <c r="D16" s="5" t="n">
        <f aca="false">SUMIFS(Presupuesto!$H$5:$H$231,Presupuesto!$A$5:$A$231,$A16,Presupuesto!$B$5:$B$231,"Subterráneo y obra común")</f>
        <v>670727860.8</v>
      </c>
      <c r="E16" s="6" t="n">
        <f aca="false">SUM(B16:D16)</f>
        <v>1191927860.8</v>
      </c>
      <c r="F16" s="7" t="n">
        <f aca="false">IF($E$23=0,0,E16/$E$23)</f>
        <v>0.0320113001329858</v>
      </c>
    </row>
    <row r="17" customFormat="false" ht="15" hidden="false" customHeight="false" outlineLevel="0" collapsed="false">
      <c r="A17" s="4" t="s">
        <v>20</v>
      </c>
      <c r="B17" s="5" t="n">
        <f aca="false">SUMIFS(Presupuesto!$H$5:$H$231,Presupuesto!$A$5:$A$231,$A17,Presupuesto!$B$5:$B$231,"Estadio")</f>
        <v>478000000</v>
      </c>
      <c r="C17" s="5" t="n">
        <f aca="false">SUMIFS(Presupuesto!$H$5:$H$231,Presupuesto!$A$5:$A$231,$A17,Presupuesto!$B$5:$B$231,"Plaza Sakbé")</f>
        <v>1548800000</v>
      </c>
      <c r="D17" s="5" t="n">
        <f aca="false">SUMIFS(Presupuesto!$H$5:$H$231,Presupuesto!$A$5:$A$231,$A17,Presupuesto!$B$5:$B$231,"Subterráneo y obra común")</f>
        <v>33600000</v>
      </c>
      <c r="E17" s="6" t="n">
        <f aca="false">SUM(B17:D17)</f>
        <v>2060400000</v>
      </c>
      <c r="F17" s="7" t="n">
        <f aca="false">IF($E$23=0,0,E17/$E$23)</f>
        <v>0.0553356331059629</v>
      </c>
    </row>
    <row r="18" customFormat="false" ht="15" hidden="false" customHeight="false" outlineLevel="0" collapsed="false">
      <c r="A18" s="4" t="s">
        <v>21</v>
      </c>
      <c r="B18" s="5" t="n">
        <f aca="false">SUMIFS(Presupuesto!$H$5:$H$231,Presupuesto!$A$5:$A$231,$A18,Presupuesto!$B$5:$B$231,"Estadio")</f>
        <v>208568000</v>
      </c>
      <c r="C18" s="5" t="n">
        <f aca="false">SUMIFS(Presupuesto!$H$5:$H$231,Presupuesto!$A$5:$A$231,$A18,Presupuesto!$B$5:$B$231,"Plaza Sakbé")</f>
        <v>0</v>
      </c>
      <c r="D18" s="5" t="n">
        <f aca="false">SUMIFS(Presupuesto!$H$5:$H$231,Presupuesto!$A$5:$A$231,$A18,Presupuesto!$B$5:$B$231,"Subterráneo y obra común")</f>
        <v>0</v>
      </c>
      <c r="E18" s="6" t="n">
        <f aca="false">SUM(B18:D18)</f>
        <v>208568000</v>
      </c>
      <c r="F18" s="7" t="n">
        <f aca="false">IF($E$23=0,0,E18/$E$23)</f>
        <v>0.00560145715669019</v>
      </c>
    </row>
    <row r="19" customFormat="false" ht="15" hidden="false" customHeight="false" outlineLevel="0" collapsed="false">
      <c r="A19" s="4" t="s">
        <v>22</v>
      </c>
      <c r="B19" s="5" t="n">
        <f aca="false">SUMIFS(Presupuesto!$H$5:$H$231,Presupuesto!$A$5:$A$231,$A19,Presupuesto!$B$5:$B$231,"Estadio")</f>
        <v>0</v>
      </c>
      <c r="C19" s="5" t="n">
        <f aca="false">SUMIFS(Presupuesto!$H$5:$H$231,Presupuesto!$A$5:$A$231,$A19,Presupuesto!$B$5:$B$231,"Plaza Sakbé")</f>
        <v>0</v>
      </c>
      <c r="D19" s="5" t="n">
        <f aca="false">SUMIFS(Presupuesto!$H$5:$H$231,Presupuesto!$A$5:$A$231,$A19,Presupuesto!$B$5:$B$231,"Subterráneo y obra común")</f>
        <v>173927097.6</v>
      </c>
      <c r="E19" s="6" t="n">
        <f aca="false">SUM(B19:D19)</f>
        <v>173927097.6</v>
      </c>
      <c r="F19" s="7" t="n">
        <f aca="false">IF($E$23=0,0,E19/$E$23)</f>
        <v>0.00467111534652427</v>
      </c>
    </row>
    <row r="20" customFormat="false" ht="15" hidden="false" customHeight="false" outlineLevel="0" collapsed="false">
      <c r="A20" s="4" t="s">
        <v>23</v>
      </c>
      <c r="B20" s="5" t="n">
        <f aca="false">SUMIFS(Presupuesto!$H$5:$H$231,Presupuesto!$A$5:$A$231,$A20,Presupuesto!$B$5:$B$231,"Estadio")</f>
        <v>0</v>
      </c>
      <c r="C20" s="5" t="n">
        <f aca="false">SUMIFS(Presupuesto!$H$5:$H$231,Presupuesto!$A$5:$A$231,$A20,Presupuesto!$B$5:$B$231,"Plaza Sakbé")</f>
        <v>112818475.2</v>
      </c>
      <c r="D20" s="5" t="n">
        <f aca="false">SUMIFS(Presupuesto!$H$5:$H$231,Presupuesto!$A$5:$A$231,$A20,Presupuesto!$B$5:$B$231,"Subterráneo y obra común")</f>
        <v>378589097</v>
      </c>
      <c r="E20" s="6" t="n">
        <f aca="false">SUM(B20:D20)</f>
        <v>491407572.2</v>
      </c>
      <c r="F20" s="7" t="n">
        <f aca="false">IF($E$23=0,0,E20/$E$23)</f>
        <v>0.0131976068339891</v>
      </c>
    </row>
    <row r="21" customFormat="false" ht="15" hidden="false" customHeight="false" outlineLevel="0" collapsed="false">
      <c r="A21" s="4" t="s">
        <v>24</v>
      </c>
      <c r="B21" s="5" t="n">
        <f aca="false">SUMIFS(Presupuesto!$H$5:$H$231,Presupuesto!$A$5:$A$231,$A21,Presupuesto!$B$5:$B$231,"Estadio")</f>
        <v>0</v>
      </c>
      <c r="C21" s="5" t="n">
        <f aca="false">SUMIFS(Presupuesto!$H$5:$H$231,Presupuesto!$A$5:$A$231,$A21,Presupuesto!$B$5:$B$231,"Plaza Sakbé")</f>
        <v>0</v>
      </c>
      <c r="D21" s="5" t="n">
        <f aca="false">SUMIFS(Presupuesto!$H$5:$H$231,Presupuesto!$A$5:$A$231,$A21,Presupuesto!$B$5:$B$231,"Subterráneo y obra común")</f>
        <v>905312816.317269</v>
      </c>
      <c r="E21" s="6" t="n">
        <f aca="false">SUM(B21:D21)</f>
        <v>905312816.317269</v>
      </c>
      <c r="F21" s="7" t="n">
        <f aca="false">IF($E$23=0,0,E21/$E$23)</f>
        <v>0.0243137535671998</v>
      </c>
    </row>
    <row r="22" customFormat="false" ht="15" hidden="false" customHeight="false" outlineLevel="0" collapsed="false">
      <c r="A22" s="4" t="s">
        <v>25</v>
      </c>
      <c r="B22" s="5" t="n">
        <f aca="false">SUMIFS(Presupuesto!$H$5:$H$231,Presupuesto!$A$5:$A$231,$A22,Presupuesto!$B$5:$B$231,"Estadio")</f>
        <v>22000000</v>
      </c>
      <c r="C22" s="5" t="n">
        <f aca="false">SUMIFS(Presupuesto!$H$5:$H$231,Presupuesto!$A$5:$A$231,$A22,Presupuesto!$B$5:$B$231,"Plaza Sakbé")</f>
        <v>0</v>
      </c>
      <c r="D22" s="5" t="n">
        <f aca="false">SUMIFS(Presupuesto!$H$5:$H$231,Presupuesto!$A$5:$A$231,$A22,Presupuesto!$B$5:$B$231,"Subterráneo y obra común")</f>
        <v>274400000</v>
      </c>
      <c r="E22" s="6" t="n">
        <f aca="false">SUM(B22:D22)</f>
        <v>296400000</v>
      </c>
      <c r="F22" s="7" t="n">
        <f aca="false">IF($E$23=0,0,E22/$E$23)</f>
        <v>0.00796033860056659</v>
      </c>
    </row>
    <row r="23" customFormat="false" ht="15" hidden="false" customHeight="false" outlineLevel="0" collapsed="false">
      <c r="A23" s="8" t="s">
        <v>26</v>
      </c>
      <c r="B23" s="9" t="n">
        <f aca="false">SUM(B5:B22)</f>
        <v>12401226292.2958</v>
      </c>
      <c r="C23" s="9" t="n">
        <f aca="false">SUM(C5:C22)</f>
        <v>12025130287.914</v>
      </c>
      <c r="D23" s="9" t="n">
        <f aca="false">SUM(D5:D22)</f>
        <v>12808240447.9748</v>
      </c>
      <c r="E23" s="9" t="n">
        <f aca="false">SUM(E5:E22)</f>
        <v>37234597028.1846</v>
      </c>
    </row>
    <row r="25" customFormat="false" ht="15" hidden="false" customHeight="false" outlineLevel="0" collapsed="false">
      <c r="A25" s="4" t="s">
        <v>27</v>
      </c>
      <c r="E25" s="6" t="n">
        <f aca="false">$E$23*F25</f>
        <v>4468151643.38215</v>
      </c>
      <c r="F25" s="10" t="n">
        <f aca="false">Supuestos!$C$5</f>
        <v>0.12</v>
      </c>
    </row>
    <row r="26" customFormat="false" ht="15" hidden="false" customHeight="false" outlineLevel="0" collapsed="false">
      <c r="A26" s="4" t="s">
        <v>28</v>
      </c>
      <c r="E26" s="6" t="n">
        <f aca="false">$E$23*F26</f>
        <v>2978767762.25477</v>
      </c>
      <c r="F26" s="10" t="n">
        <f aca="false">Supuestos!$C$6</f>
        <v>0.08</v>
      </c>
    </row>
    <row r="27" customFormat="false" ht="15" hidden="false" customHeight="false" outlineLevel="0" collapsed="false">
      <c r="A27" s="4" t="s">
        <v>29</v>
      </c>
      <c r="E27" s="6" t="n">
        <f aca="false">$E$23*F27</f>
        <v>2234075821.69108</v>
      </c>
      <c r="F27" s="10" t="n">
        <f aca="false">Supuestos!$C$7</f>
        <v>0.06</v>
      </c>
    </row>
    <row r="28" customFormat="false" ht="15" hidden="false" customHeight="false" outlineLevel="0" collapsed="false">
      <c r="A28" s="4" t="s">
        <v>30</v>
      </c>
      <c r="E28" s="6" t="n">
        <f aca="false">$E$23*F28</f>
        <v>558518955.422769</v>
      </c>
      <c r="F28" s="10" t="n">
        <f aca="false">Supuestos!$C$8</f>
        <v>0.015</v>
      </c>
    </row>
    <row r="29" customFormat="false" ht="15" hidden="false" customHeight="false" outlineLevel="0" collapsed="false">
      <c r="A29" s="4" t="s">
        <v>31</v>
      </c>
      <c r="E29" s="6" t="n">
        <f aca="false">$E$23*F29</f>
        <v>930864925.704615</v>
      </c>
      <c r="F29" s="10" t="n">
        <f aca="false">Supuestos!$C$9</f>
        <v>0.025</v>
      </c>
    </row>
    <row r="30" customFormat="false" ht="15" hidden="false" customHeight="false" outlineLevel="0" collapsed="false">
      <c r="A30" s="8" t="s">
        <v>32</v>
      </c>
      <c r="E30" s="9" t="n">
        <f aca="false">E23+SUM(E25:E29)</f>
        <v>48404976136.64</v>
      </c>
    </row>
    <row r="31" customFormat="false" ht="15" hidden="false" customHeight="false" outlineLevel="0" collapsed="false">
      <c r="A31" s="4" t="s">
        <v>33</v>
      </c>
      <c r="E31" s="6" t="n">
        <f aca="false">E30*F31</f>
        <v>4840497613.664</v>
      </c>
      <c r="F31" s="10" t="n">
        <f aca="false">Supuestos!$C$10</f>
        <v>0.1</v>
      </c>
    </row>
    <row r="32" customFormat="false" ht="15" hidden="false" customHeight="false" outlineLevel="0" collapsed="false">
      <c r="A32" s="8" t="s">
        <v>34</v>
      </c>
      <c r="E32" s="9" t="n">
        <f aca="false">E30+E31</f>
        <v>53245473750.304</v>
      </c>
    </row>
    <row r="33" customFormat="false" ht="15" hidden="false" customHeight="false" outlineLevel="0" collapsed="false">
      <c r="A33" s="4" t="s">
        <v>35</v>
      </c>
      <c r="E33" s="6" t="n">
        <f aca="false">E32*F33</f>
        <v>8519275800.04864</v>
      </c>
      <c r="F33" s="10" t="n">
        <f aca="false">Supuestos!$C$11</f>
        <v>0.16</v>
      </c>
    </row>
    <row r="34" customFormat="false" ht="15" hidden="false" customHeight="false" outlineLevel="0" collapsed="false">
      <c r="A34" s="11" t="s">
        <v>36</v>
      </c>
      <c r="E34" s="12" t="n">
        <f aca="false">E32+E33</f>
        <v>61764749550.3526</v>
      </c>
    </row>
    <row r="35" customFormat="false" ht="15" hidden="false" customHeight="false" outlineLevel="0" collapsed="false">
      <c r="A35" s="8" t="s">
        <v>37</v>
      </c>
      <c r="E35" s="13" t="n">
        <f aca="false">E34/Supuestos!$C$4</f>
        <v>3338635110.82987</v>
      </c>
    </row>
    <row r="37" customFormat="false" ht="15" hidden="false" customHeight="false" outlineLevel="0" collapsed="false">
      <c r="A37" s="8" t="s">
        <v>38</v>
      </c>
    </row>
    <row r="38" customFormat="false" ht="15" hidden="false" customHeight="false" outlineLevel="0" collapsed="false">
      <c r="A38" s="4" t="s">
        <v>39</v>
      </c>
      <c r="E38" s="6" t="n">
        <f aca="false">B23*(E32/E23)</f>
        <v>17733753597.983</v>
      </c>
    </row>
    <row r="39" customFormat="false" ht="15" hidden="false" customHeight="false" outlineLevel="0" collapsed="false">
      <c r="A39" s="4" t="s">
        <v>40</v>
      </c>
      <c r="E39" s="6" t="n">
        <f aca="false">B23*(E32/E23)/Cantidades_Modelo!$C$56</f>
        <v>176826.507373521</v>
      </c>
    </row>
    <row r="40" customFormat="false" ht="15" hidden="false" customHeight="false" outlineLevel="0" collapsed="false">
      <c r="A40" s="4" t="s">
        <v>41</v>
      </c>
      <c r="E40" s="14" t="n">
        <f aca="false">B23*(E32/E23)/Cantidades_Modelo!$C$56/Supuestos!$C$4</f>
        <v>9558.18958775789</v>
      </c>
    </row>
    <row r="41" customFormat="false" ht="15" hidden="false" customHeight="false" outlineLevel="0" collapsed="false">
      <c r="A41" s="4" t="s">
        <v>42</v>
      </c>
      <c r="E41" s="6" t="n">
        <f aca="false">C23*(E32/E23)</f>
        <v>17195936311.717</v>
      </c>
    </row>
    <row r="42" customFormat="false" ht="15" hidden="false" customHeight="false" outlineLevel="0" collapsed="false">
      <c r="A42" s="4" t="s">
        <v>43</v>
      </c>
      <c r="E42" s="6" t="n">
        <f aca="false">C23*(E32/E23)/Cantidades_Modelo!$C$26</f>
        <v>44539.3583763003</v>
      </c>
    </row>
    <row r="43" customFormat="false" ht="15" hidden="false" customHeight="false" outlineLevel="0" collapsed="false">
      <c r="A43" s="4" t="s">
        <v>44</v>
      </c>
      <c r="E43" s="6" t="n">
        <f aca="false">D23*(E32/E23)</f>
        <v>18315783840.6039</v>
      </c>
    </row>
    <row r="44" customFormat="false" ht="15" hidden="false" customHeight="false" outlineLevel="0" collapsed="false">
      <c r="A44" s="4" t="s">
        <v>45</v>
      </c>
      <c r="E44" s="6" t="n">
        <f aca="false">D23*(E32/E23)/Cantidades_Modelo!$C$57</f>
        <v>3220074.51487411</v>
      </c>
    </row>
    <row r="46" customFormat="false" ht="15" hidden="false" customHeight="false" outlineLevel="0" collapsed="false">
      <c r="A46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7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9"/>
    <col collapsed="false" customWidth="true" hidden="false" outlineLevel="0" max="9" min="9" style="0" width="34"/>
    <col collapsed="false" customWidth="true" hidden="false" outlineLevel="0" max="10" min="10" style="0" width="46"/>
  </cols>
  <sheetData>
    <row r="1" customFormat="false" ht="16.15" hidden="false" customHeight="false" outlineLevel="0" collapsed="false">
      <c r="A1" s="15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3" t="s">
        <v>2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</row>
    <row r="5" customFormat="false" ht="15" hidden="false" customHeight="false" outlineLevel="0" collapsed="false">
      <c r="A5" s="16" t="s">
        <v>8</v>
      </c>
      <c r="B5" s="17"/>
      <c r="C5" s="17"/>
      <c r="D5" s="17"/>
      <c r="E5" s="17"/>
      <c r="F5" s="17"/>
      <c r="G5" s="17"/>
      <c r="H5" s="17"/>
      <c r="I5" s="17"/>
      <c r="J5" s="17"/>
    </row>
    <row r="6" customFormat="false" ht="15" hidden="false" customHeight="false" outlineLevel="0" collapsed="false">
      <c r="A6" s="18" t="s">
        <v>8</v>
      </c>
      <c r="B6" s="18" t="s">
        <v>5</v>
      </c>
      <c r="C6" s="18" t="s">
        <v>58</v>
      </c>
      <c r="D6" s="18" t="s">
        <v>59</v>
      </c>
      <c r="E6" s="18" t="s">
        <v>60</v>
      </c>
      <c r="F6" s="19" t="n">
        <f aca="false">Cantidades_Modelo!$C$4</f>
        <v>283535.79</v>
      </c>
      <c r="G6" s="20" t="n">
        <v>38</v>
      </c>
      <c r="H6" s="21" t="n">
        <f aca="false">F6*G6</f>
        <v>10774360.02</v>
      </c>
      <c r="I6" s="18" t="s">
        <v>61</v>
      </c>
      <c r="J6" s="18" t="s">
        <v>62</v>
      </c>
    </row>
    <row r="7" customFormat="false" ht="15" hidden="false" customHeight="false" outlineLevel="0" collapsed="false">
      <c r="A7" s="18" t="s">
        <v>8</v>
      </c>
      <c r="B7" s="18" t="s">
        <v>5</v>
      </c>
      <c r="C7" s="18" t="s">
        <v>63</v>
      </c>
      <c r="D7" s="18" t="s">
        <v>64</v>
      </c>
      <c r="E7" s="18" t="s">
        <v>65</v>
      </c>
      <c r="F7" s="19" t="n">
        <f aca="false">Cantidades_Modelo!$C$7</f>
        <v>1900.26</v>
      </c>
      <c r="G7" s="20" t="n">
        <v>2600</v>
      </c>
      <c r="H7" s="21" t="n">
        <f aca="false">F7*G7</f>
        <v>4940676</v>
      </c>
      <c r="I7" s="18" t="s">
        <v>66</v>
      </c>
      <c r="J7" s="18" t="s">
        <v>62</v>
      </c>
    </row>
    <row r="8" customFormat="false" ht="15" hidden="false" customHeight="false" outlineLevel="0" collapsed="false">
      <c r="A8" s="18" t="s">
        <v>8</v>
      </c>
      <c r="B8" s="18" t="s">
        <v>5</v>
      </c>
      <c r="C8" s="18" t="s">
        <v>67</v>
      </c>
      <c r="D8" s="18" t="s">
        <v>68</v>
      </c>
      <c r="E8" s="18" t="s">
        <v>69</v>
      </c>
      <c r="F8" s="19" t="n">
        <f aca="false">Supuestos!$C$12</f>
        <v>48</v>
      </c>
      <c r="G8" s="20" t="n">
        <v>1450000</v>
      </c>
      <c r="H8" s="21" t="n">
        <f aca="false">F8*G8</f>
        <v>69600000</v>
      </c>
      <c r="I8" s="18" t="s">
        <v>70</v>
      </c>
      <c r="J8" s="18" t="s">
        <v>62</v>
      </c>
    </row>
    <row r="9" customFormat="false" ht="15" hidden="false" customHeight="false" outlineLevel="0" collapsed="false">
      <c r="A9" s="18" t="s">
        <v>8</v>
      </c>
      <c r="B9" s="18" t="s">
        <v>5</v>
      </c>
      <c r="C9" s="18" t="s">
        <v>71</v>
      </c>
      <c r="D9" s="18" t="s">
        <v>72</v>
      </c>
      <c r="E9" s="18" t="s">
        <v>69</v>
      </c>
      <c r="F9" s="19" t="n">
        <f aca="false">Supuestos!$C$12</f>
        <v>48</v>
      </c>
      <c r="G9" s="20" t="n">
        <v>850000</v>
      </c>
      <c r="H9" s="21" t="n">
        <f aca="false">F9*G9</f>
        <v>40800000</v>
      </c>
      <c r="I9" s="18" t="s">
        <v>73</v>
      </c>
      <c r="J9" s="18" t="s">
        <v>62</v>
      </c>
    </row>
    <row r="10" customFormat="false" ht="15" hidden="false" customHeight="false" outlineLevel="0" collapsed="false">
      <c r="A10" s="18" t="s">
        <v>8</v>
      </c>
      <c r="B10" s="18" t="s">
        <v>5</v>
      </c>
      <c r="C10" s="18" t="s">
        <v>74</v>
      </c>
      <c r="D10" s="18" t="s">
        <v>75</v>
      </c>
      <c r="E10" s="18" t="s">
        <v>69</v>
      </c>
      <c r="F10" s="19" t="n">
        <f aca="false">Supuestos!$C$12</f>
        <v>48</v>
      </c>
      <c r="G10" s="20" t="n">
        <v>9800000</v>
      </c>
      <c r="H10" s="21" t="n">
        <f aca="false">F10*G10</f>
        <v>470400000</v>
      </c>
      <c r="I10" s="18" t="s">
        <v>76</v>
      </c>
      <c r="J10" s="18" t="s">
        <v>62</v>
      </c>
    </row>
    <row r="11" customFormat="false" ht="15" hidden="false" customHeight="false" outlineLevel="0" collapsed="false">
      <c r="A11" s="18" t="s">
        <v>8</v>
      </c>
      <c r="B11" s="18" t="s">
        <v>5</v>
      </c>
      <c r="C11" s="18" t="s">
        <v>77</v>
      </c>
      <c r="D11" s="18" t="s">
        <v>78</v>
      </c>
      <c r="E11" s="18" t="s">
        <v>69</v>
      </c>
      <c r="F11" s="19" t="n">
        <f aca="false">Supuestos!$C$12</f>
        <v>48</v>
      </c>
      <c r="G11" s="20" t="n">
        <v>1250000</v>
      </c>
      <c r="H11" s="21" t="n">
        <f aca="false">F11*G11</f>
        <v>60000000</v>
      </c>
      <c r="I11" s="18" t="s">
        <v>79</v>
      </c>
      <c r="J11" s="18" t="s">
        <v>62</v>
      </c>
    </row>
    <row r="12" customFormat="false" ht="15" hidden="false" customHeight="false" outlineLevel="0" collapsed="false">
      <c r="A12" s="18" t="s">
        <v>8</v>
      </c>
      <c r="B12" s="18" t="s">
        <v>5</v>
      </c>
      <c r="C12" s="18" t="s">
        <v>80</v>
      </c>
      <c r="D12" s="18" t="s">
        <v>81</v>
      </c>
      <c r="E12" s="18" t="s">
        <v>82</v>
      </c>
      <c r="F12" s="22" t="n">
        <v>1</v>
      </c>
      <c r="G12" s="20" t="n">
        <v>38000000</v>
      </c>
      <c r="H12" s="21" t="n">
        <f aca="false">F12*G12</f>
        <v>38000000</v>
      </c>
      <c r="I12" s="18" t="s">
        <v>83</v>
      </c>
      <c r="J12" s="18" t="s">
        <v>84</v>
      </c>
    </row>
    <row r="13" customFormat="false" ht="15" hidden="false" customHeight="false" outlineLevel="0" collapsed="false">
      <c r="A13" s="18" t="s">
        <v>8</v>
      </c>
      <c r="B13" s="18" t="s">
        <v>5</v>
      </c>
      <c r="C13" s="18" t="s">
        <v>85</v>
      </c>
      <c r="D13" s="18" t="s">
        <v>86</v>
      </c>
      <c r="E13" s="18" t="s">
        <v>82</v>
      </c>
      <c r="F13" s="22" t="n">
        <v>1</v>
      </c>
      <c r="G13" s="20" t="n">
        <v>420000000</v>
      </c>
      <c r="H13" s="21" t="n">
        <f aca="false">F13*G13</f>
        <v>420000000</v>
      </c>
      <c r="I13" s="18" t="s">
        <v>87</v>
      </c>
      <c r="J13" s="18" t="s">
        <v>84</v>
      </c>
    </row>
    <row r="14" customFormat="false" ht="15" hidden="false" customHeight="false" outlineLevel="0" collapsed="false">
      <c r="A14" s="16" t="s">
        <v>9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18" t="s">
        <v>9</v>
      </c>
      <c r="B15" s="18" t="s">
        <v>5</v>
      </c>
      <c r="C15" s="18" t="s">
        <v>88</v>
      </c>
      <c r="D15" s="18" t="s">
        <v>89</v>
      </c>
      <c r="E15" s="18" t="s">
        <v>60</v>
      </c>
      <c r="F15" s="19" t="n">
        <f aca="false">Cantidades_Modelo!$C$6*Supuestos!$C$15</f>
        <v>30717.54</v>
      </c>
      <c r="G15" s="20" t="n">
        <v>11800</v>
      </c>
      <c r="H15" s="21" t="n">
        <f aca="false">F15*G15</f>
        <v>362466972</v>
      </c>
      <c r="I15" s="18" t="s">
        <v>90</v>
      </c>
      <c r="J15" s="18" t="s">
        <v>62</v>
      </c>
    </row>
    <row r="16" customFormat="false" ht="15" hidden="false" customHeight="false" outlineLevel="0" collapsed="false">
      <c r="A16" s="18" t="s">
        <v>9</v>
      </c>
      <c r="B16" s="18" t="s">
        <v>5</v>
      </c>
      <c r="C16" s="18" t="s">
        <v>91</v>
      </c>
      <c r="D16" s="18" t="s">
        <v>92</v>
      </c>
      <c r="E16" s="18" t="s">
        <v>93</v>
      </c>
      <c r="F16" s="19" t="n">
        <f aca="false">Cantidades_Modelo!$C$5*Supuestos!$C$14</f>
        <v>2971508.15</v>
      </c>
      <c r="G16" s="20" t="n">
        <v>165</v>
      </c>
      <c r="H16" s="21" t="n">
        <f aca="false">F16*G16</f>
        <v>490298844.75</v>
      </c>
      <c r="I16" s="18" t="s">
        <v>94</v>
      </c>
      <c r="J16" s="18" t="s">
        <v>62</v>
      </c>
    </row>
    <row r="17" customFormat="false" ht="15" hidden="false" customHeight="false" outlineLevel="0" collapsed="false">
      <c r="A17" s="18" t="s">
        <v>9</v>
      </c>
      <c r="B17" s="18" t="s">
        <v>5</v>
      </c>
      <c r="C17" s="18" t="s">
        <v>95</v>
      </c>
      <c r="D17" s="18" t="s">
        <v>96</v>
      </c>
      <c r="E17" s="18" t="s">
        <v>93</v>
      </c>
      <c r="F17" s="19" t="n">
        <f aca="false">$F$16*Supuestos!$C$13</f>
        <v>3714385.1875</v>
      </c>
      <c r="G17" s="20" t="n">
        <v>145</v>
      </c>
      <c r="H17" s="21" t="n">
        <f aca="false">F17*G17</f>
        <v>538585852.1875</v>
      </c>
      <c r="I17" s="18" t="s">
        <v>97</v>
      </c>
      <c r="J17" s="18" t="s">
        <v>62</v>
      </c>
    </row>
    <row r="18" customFormat="false" ht="15" hidden="false" customHeight="false" outlineLevel="0" collapsed="false">
      <c r="A18" s="18" t="s">
        <v>9</v>
      </c>
      <c r="B18" s="18" t="s">
        <v>5</v>
      </c>
      <c r="C18" s="18" t="s">
        <v>98</v>
      </c>
      <c r="D18" s="18" t="s">
        <v>99</v>
      </c>
      <c r="E18" s="18" t="s">
        <v>69</v>
      </c>
      <c r="F18" s="22" t="n">
        <v>18</v>
      </c>
      <c r="G18" s="20" t="n">
        <v>1600000</v>
      </c>
      <c r="H18" s="21" t="n">
        <f aca="false">F18*G18</f>
        <v>28800000</v>
      </c>
      <c r="I18" s="18" t="s">
        <v>100</v>
      </c>
      <c r="J18" s="18" t="s">
        <v>84</v>
      </c>
    </row>
    <row r="19" customFormat="false" ht="15" hidden="false" customHeight="false" outlineLevel="0" collapsed="false">
      <c r="A19" s="18" t="s">
        <v>9</v>
      </c>
      <c r="B19" s="18" t="s">
        <v>5</v>
      </c>
      <c r="C19" s="18" t="s">
        <v>101</v>
      </c>
      <c r="D19" s="18" t="s">
        <v>102</v>
      </c>
      <c r="E19" s="18" t="s">
        <v>103</v>
      </c>
      <c r="F19" s="19" t="n">
        <f aca="false">Cantidades_Modelo!$C$6/3*3</f>
        <v>1706.53</v>
      </c>
      <c r="G19" s="20" t="n">
        <v>38000</v>
      </c>
      <c r="H19" s="21" t="n">
        <f aca="false">F19*G19</f>
        <v>64848140</v>
      </c>
      <c r="I19" s="18" t="s">
        <v>104</v>
      </c>
      <c r="J19" s="18" t="s">
        <v>62</v>
      </c>
    </row>
    <row r="20" customFormat="false" ht="15" hidden="false" customHeight="false" outlineLevel="0" collapsed="false">
      <c r="A20" s="18" t="s">
        <v>9</v>
      </c>
      <c r="B20" s="18" t="s">
        <v>5</v>
      </c>
      <c r="C20" s="18" t="s">
        <v>105</v>
      </c>
      <c r="D20" s="18" t="s">
        <v>106</v>
      </c>
      <c r="E20" s="18" t="s">
        <v>65</v>
      </c>
      <c r="F20" s="19" t="n">
        <f aca="false">Supuestos!$C$18*Supuestos!$C$19</f>
        <v>32275</v>
      </c>
      <c r="G20" s="20" t="n">
        <v>13500</v>
      </c>
      <c r="H20" s="21" t="n">
        <f aca="false">F20*G20</f>
        <v>435712500</v>
      </c>
      <c r="I20" s="18" t="s">
        <v>107</v>
      </c>
      <c r="J20" s="18" t="s">
        <v>62</v>
      </c>
    </row>
    <row r="21" customFormat="false" ht="15" hidden="false" customHeight="false" outlineLevel="0" collapsed="false">
      <c r="A21" s="18" t="s">
        <v>9</v>
      </c>
      <c r="B21" s="18" t="s">
        <v>5</v>
      </c>
      <c r="C21" s="18" t="s">
        <v>108</v>
      </c>
      <c r="D21" s="18" t="s">
        <v>109</v>
      </c>
      <c r="E21" s="18" t="s">
        <v>60</v>
      </c>
      <c r="F21" s="19" t="n">
        <f aca="false">Cantidades_Modelo!$C$5</f>
        <v>228577.55</v>
      </c>
      <c r="G21" s="20" t="n">
        <v>190</v>
      </c>
      <c r="H21" s="21" t="n">
        <f aca="false">F21*G21</f>
        <v>43429734.5</v>
      </c>
      <c r="I21" s="18" t="s">
        <v>110</v>
      </c>
      <c r="J21" s="18" t="s">
        <v>62</v>
      </c>
    </row>
    <row r="22" customFormat="false" ht="15" hidden="false" customHeight="false" outlineLevel="0" collapsed="false">
      <c r="A22" s="18" t="s">
        <v>9</v>
      </c>
      <c r="B22" s="18" t="s">
        <v>5</v>
      </c>
      <c r="C22" s="18" t="s">
        <v>111</v>
      </c>
      <c r="D22" s="18" t="s">
        <v>112</v>
      </c>
      <c r="E22" s="18" t="s">
        <v>93</v>
      </c>
      <c r="F22" s="19" t="n">
        <f aca="false">Cantidades_Modelo!$C$5*Supuestos!$C$17</f>
        <v>205719.795</v>
      </c>
      <c r="G22" s="20" t="n">
        <v>3350</v>
      </c>
      <c r="H22" s="21" t="n">
        <f aca="false">F22*G22</f>
        <v>689161313.25</v>
      </c>
      <c r="I22" s="18" t="s">
        <v>113</v>
      </c>
      <c r="J22" s="18" t="s">
        <v>62</v>
      </c>
    </row>
    <row r="23" customFormat="false" ht="15" hidden="false" customHeight="false" outlineLevel="0" collapsed="false">
      <c r="A23" s="18" t="s">
        <v>9</v>
      </c>
      <c r="B23" s="18" t="s">
        <v>5</v>
      </c>
      <c r="C23" s="18" t="s">
        <v>114</v>
      </c>
      <c r="D23" s="18" t="s">
        <v>115</v>
      </c>
      <c r="E23" s="18" t="s">
        <v>116</v>
      </c>
      <c r="F23" s="19" t="n">
        <f aca="false">$F$22*Supuestos!$C$33</f>
        <v>19543380.525</v>
      </c>
      <c r="G23" s="20" t="n">
        <v>31</v>
      </c>
      <c r="H23" s="21" t="n">
        <f aca="false">F23*G23</f>
        <v>605844796.275</v>
      </c>
      <c r="I23" s="18" t="s">
        <v>117</v>
      </c>
      <c r="J23" s="18" t="s">
        <v>62</v>
      </c>
    </row>
    <row r="24" customFormat="false" ht="15" hidden="false" customHeight="false" outlineLevel="0" collapsed="false">
      <c r="A24" s="18" t="s">
        <v>9</v>
      </c>
      <c r="B24" s="18" t="s">
        <v>5</v>
      </c>
      <c r="C24" s="18" t="s">
        <v>118</v>
      </c>
      <c r="D24" s="18" t="s">
        <v>119</v>
      </c>
      <c r="E24" s="18" t="s">
        <v>60</v>
      </c>
      <c r="F24" s="19" t="n">
        <f aca="false">Cantidades_Modelo!$C$5+$F$15</f>
        <v>259295.09</v>
      </c>
      <c r="G24" s="20" t="n">
        <v>520</v>
      </c>
      <c r="H24" s="21" t="n">
        <f aca="false">F24*G24</f>
        <v>134833446.8</v>
      </c>
      <c r="I24" s="18" t="s">
        <v>120</v>
      </c>
      <c r="J24" s="18" t="s">
        <v>62</v>
      </c>
    </row>
    <row r="25" customFormat="false" ht="15" hidden="false" customHeight="false" outlineLevel="0" collapsed="false">
      <c r="A25" s="18" t="s">
        <v>9</v>
      </c>
      <c r="B25" s="18" t="s">
        <v>5</v>
      </c>
      <c r="C25" s="18" t="s">
        <v>121</v>
      </c>
      <c r="D25" s="18" t="s">
        <v>122</v>
      </c>
      <c r="E25" s="18" t="s">
        <v>60</v>
      </c>
      <c r="F25" s="19" t="n">
        <f aca="false">Cantidades_Modelo!$C$19</f>
        <v>150227.88</v>
      </c>
      <c r="G25" s="20" t="n">
        <v>820</v>
      </c>
      <c r="H25" s="21" t="n">
        <f aca="false">F25*G25</f>
        <v>123186861.6</v>
      </c>
      <c r="I25" s="18" t="s">
        <v>123</v>
      </c>
      <c r="J25" s="18" t="s">
        <v>62</v>
      </c>
    </row>
    <row r="26" customFormat="false" ht="15" hidden="false" customHeight="false" outlineLevel="0" collapsed="false">
      <c r="A26" s="18" t="s">
        <v>9</v>
      </c>
      <c r="B26" s="18" t="s">
        <v>5</v>
      </c>
      <c r="C26" s="18" t="s">
        <v>124</v>
      </c>
      <c r="D26" s="18" t="s">
        <v>125</v>
      </c>
      <c r="E26" s="18" t="s">
        <v>65</v>
      </c>
      <c r="F26" s="19" t="n">
        <f aca="false">Cantidades_Modelo!$C$6*4</f>
        <v>6826.12</v>
      </c>
      <c r="G26" s="20" t="n">
        <v>650</v>
      </c>
      <c r="H26" s="21" t="n">
        <f aca="false">F26*G26</f>
        <v>4436978</v>
      </c>
      <c r="I26" s="18" t="s">
        <v>126</v>
      </c>
      <c r="J26" s="18" t="s">
        <v>62</v>
      </c>
    </row>
    <row r="27" customFormat="false" ht="15" hidden="false" customHeight="false" outlineLevel="0" collapsed="false">
      <c r="A27" s="18" t="s">
        <v>9</v>
      </c>
      <c r="B27" s="18" t="s">
        <v>3</v>
      </c>
      <c r="C27" s="18" t="s">
        <v>127</v>
      </c>
      <c r="D27" s="18" t="s">
        <v>128</v>
      </c>
      <c r="E27" s="18" t="s">
        <v>93</v>
      </c>
      <c r="F27" s="19" t="n">
        <f aca="false">Cantidades_Modelo!$C$8*5.5</f>
        <v>92053.665</v>
      </c>
      <c r="G27" s="20" t="n">
        <v>480</v>
      </c>
      <c r="H27" s="21" t="n">
        <f aca="false">F27*G27</f>
        <v>44185759.2</v>
      </c>
      <c r="I27" s="18" t="s">
        <v>129</v>
      </c>
      <c r="J27" s="18" t="s">
        <v>62</v>
      </c>
    </row>
    <row r="28" customFormat="false" ht="15" hidden="false" customHeight="false" outlineLevel="0" collapsed="false">
      <c r="A28" s="16" t="s">
        <v>10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18" t="s">
        <v>10</v>
      </c>
      <c r="B29" s="18" t="s">
        <v>3</v>
      </c>
      <c r="C29" s="18" t="s">
        <v>130</v>
      </c>
      <c r="D29" s="18" t="s">
        <v>131</v>
      </c>
      <c r="E29" s="18" t="s">
        <v>93</v>
      </c>
      <c r="F29" s="19" t="n">
        <f aca="false">Cantidades_Modelo!$C$8*Supuestos!$C$22*Supuestos!$C$20</f>
        <v>4811.896125</v>
      </c>
      <c r="G29" s="20" t="n">
        <v>3600</v>
      </c>
      <c r="H29" s="21" t="n">
        <f aca="false">F29*G29</f>
        <v>17322826.05</v>
      </c>
      <c r="I29" s="18" t="s">
        <v>113</v>
      </c>
      <c r="J29" s="18" t="s">
        <v>62</v>
      </c>
    </row>
    <row r="30" customFormat="false" ht="15" hidden="false" customHeight="false" outlineLevel="0" collapsed="false">
      <c r="A30" s="18" t="s">
        <v>10</v>
      </c>
      <c r="B30" s="18" t="s">
        <v>3</v>
      </c>
      <c r="C30" s="18" t="s">
        <v>132</v>
      </c>
      <c r="D30" s="18" t="s">
        <v>133</v>
      </c>
      <c r="E30" s="18" t="s">
        <v>93</v>
      </c>
      <c r="F30" s="19" t="n">
        <f aca="false">(Cantidades_Modelo!$C$9+Cantidades_Modelo!$C$10)*Supuestos!$C$22*Supuestos!$C$21</f>
        <v>30155.822675</v>
      </c>
      <c r="G30" s="20" t="n">
        <v>7800</v>
      </c>
      <c r="H30" s="21" t="n">
        <f aca="false">F30*G30</f>
        <v>235215416.865</v>
      </c>
      <c r="I30" s="18" t="s">
        <v>134</v>
      </c>
      <c r="J30" s="18" t="s">
        <v>62</v>
      </c>
    </row>
    <row r="31" customFormat="false" ht="15" hidden="false" customHeight="false" outlineLevel="0" collapsed="false">
      <c r="A31" s="18" t="s">
        <v>10</v>
      </c>
      <c r="B31" s="18" t="s">
        <v>3</v>
      </c>
      <c r="C31" s="18" t="s">
        <v>135</v>
      </c>
      <c r="D31" s="18" t="s">
        <v>136</v>
      </c>
      <c r="E31" s="18" t="s">
        <v>93</v>
      </c>
      <c r="F31" s="19" t="n">
        <f aca="false">(Cantidades_Modelo!$C$9+Cantidades_Modelo!$C$10)*0.35</f>
        <v>16687.0165</v>
      </c>
      <c r="G31" s="20" t="n">
        <v>4300</v>
      </c>
      <c r="H31" s="21" t="n">
        <f aca="false">F31*G31</f>
        <v>71754170.95</v>
      </c>
      <c r="I31" s="18" t="s">
        <v>137</v>
      </c>
      <c r="J31" s="18" t="s">
        <v>62</v>
      </c>
    </row>
    <row r="32" customFormat="false" ht="15" hidden="false" customHeight="false" outlineLevel="0" collapsed="false">
      <c r="A32" s="18" t="s">
        <v>10</v>
      </c>
      <c r="B32" s="18" t="s">
        <v>3</v>
      </c>
      <c r="C32" s="18" t="s">
        <v>138</v>
      </c>
      <c r="D32" s="18" t="s">
        <v>139</v>
      </c>
      <c r="E32" s="18" t="s">
        <v>116</v>
      </c>
      <c r="F32" s="19" t="n">
        <f aca="false">($F$29+$F$30+$F$31)*Supuestos!$C$38</f>
        <v>7748210.295</v>
      </c>
      <c r="G32" s="20" t="n">
        <v>31</v>
      </c>
      <c r="H32" s="21" t="n">
        <f aca="false">F32*G32</f>
        <v>240194519.145</v>
      </c>
      <c r="I32" s="18" t="s">
        <v>117</v>
      </c>
      <c r="J32" s="18" t="s">
        <v>62</v>
      </c>
    </row>
    <row r="33" customFormat="false" ht="15" hidden="false" customHeight="false" outlineLevel="0" collapsed="false">
      <c r="A33" s="18" t="s">
        <v>10</v>
      </c>
      <c r="B33" s="18" t="s">
        <v>3</v>
      </c>
      <c r="C33" s="18" t="s">
        <v>140</v>
      </c>
      <c r="D33" s="18" t="s">
        <v>141</v>
      </c>
      <c r="E33" s="18" t="s">
        <v>60</v>
      </c>
      <c r="F33" s="19" t="n">
        <f aca="false">($F$29+$F$30+$F$31)*Supuestos!$C$43</f>
        <v>129136.83825</v>
      </c>
      <c r="G33" s="20" t="n">
        <v>620</v>
      </c>
      <c r="H33" s="21" t="n">
        <f aca="false">F33*G33</f>
        <v>80064839.715</v>
      </c>
      <c r="I33" s="18" t="s">
        <v>142</v>
      </c>
      <c r="J33" s="18" t="s">
        <v>62</v>
      </c>
    </row>
    <row r="34" customFormat="false" ht="15" hidden="false" customHeight="false" outlineLevel="0" collapsed="false">
      <c r="A34" s="18" t="s">
        <v>10</v>
      </c>
      <c r="B34" s="18" t="s">
        <v>3</v>
      </c>
      <c r="C34" s="18" t="s">
        <v>143</v>
      </c>
      <c r="D34" s="18" t="s">
        <v>144</v>
      </c>
      <c r="E34" s="18" t="s">
        <v>93</v>
      </c>
      <c r="F34" s="19" t="n">
        <f aca="false">(Cantidades_Modelo!$C$12+Cantidades_Modelo!$C$13+Cantidades_Modelo!$C$14+Cantidades_Modelo!$C$15)*Supuestos!$C$23</f>
        <v>56024.8335</v>
      </c>
      <c r="G34" s="20" t="n">
        <v>3550</v>
      </c>
      <c r="H34" s="21" t="n">
        <f aca="false">F34*G34</f>
        <v>198888158.925</v>
      </c>
      <c r="I34" s="18" t="s">
        <v>145</v>
      </c>
      <c r="J34" s="18" t="s">
        <v>62</v>
      </c>
    </row>
    <row r="35" customFormat="false" ht="15" hidden="false" customHeight="false" outlineLevel="0" collapsed="false">
      <c r="A35" s="18" t="s">
        <v>10</v>
      </c>
      <c r="B35" s="18" t="s">
        <v>3</v>
      </c>
      <c r="C35" s="18" t="s">
        <v>146</v>
      </c>
      <c r="D35" s="18" t="s">
        <v>147</v>
      </c>
      <c r="E35" s="18" t="s">
        <v>116</v>
      </c>
      <c r="F35" s="19" t="n">
        <f aca="false">$F$34*Supuestos!$C$36</f>
        <v>6162731.685</v>
      </c>
      <c r="G35" s="20" t="n">
        <v>31</v>
      </c>
      <c r="H35" s="21" t="n">
        <f aca="false">F35*G35</f>
        <v>191044682.235</v>
      </c>
      <c r="I35" s="18" t="s">
        <v>117</v>
      </c>
      <c r="J35" s="18" t="s">
        <v>62</v>
      </c>
    </row>
    <row r="36" customFormat="false" ht="15" hidden="false" customHeight="false" outlineLevel="0" collapsed="false">
      <c r="A36" s="18" t="s">
        <v>10</v>
      </c>
      <c r="B36" s="18" t="s">
        <v>3</v>
      </c>
      <c r="C36" s="18" t="s">
        <v>148</v>
      </c>
      <c r="D36" s="18" t="s">
        <v>149</v>
      </c>
      <c r="E36" s="18" t="s">
        <v>116</v>
      </c>
      <c r="F36" s="19" t="n">
        <f aca="false">(Cantidades_Modelo!$C$12+Cantidades_Modelo!$C$13+Cantidades_Modelo!$C$14+Cantidades_Modelo!$C$15)*Supuestos!$C$39</f>
        <v>1120496.67</v>
      </c>
      <c r="G36" s="20" t="n">
        <v>78</v>
      </c>
      <c r="H36" s="21" t="n">
        <f aca="false">F36*G36</f>
        <v>87398740.26</v>
      </c>
      <c r="I36" s="18" t="s">
        <v>150</v>
      </c>
      <c r="J36" s="18" t="s">
        <v>62</v>
      </c>
    </row>
    <row r="37" customFormat="false" ht="15" hidden="false" customHeight="false" outlineLevel="0" collapsed="false">
      <c r="A37" s="18" t="s">
        <v>10</v>
      </c>
      <c r="B37" s="18" t="s">
        <v>3</v>
      </c>
      <c r="C37" s="18" t="s">
        <v>151</v>
      </c>
      <c r="D37" s="18" t="s">
        <v>152</v>
      </c>
      <c r="E37" s="18" t="s">
        <v>60</v>
      </c>
      <c r="F37" s="19" t="n">
        <f aca="false">$F$34*Supuestos!$C$40</f>
        <v>168074.5005</v>
      </c>
      <c r="G37" s="20" t="n">
        <v>520</v>
      </c>
      <c r="H37" s="21" t="n">
        <f aca="false">F37*G37</f>
        <v>87398740.26</v>
      </c>
      <c r="I37" s="18" t="s">
        <v>142</v>
      </c>
      <c r="J37" s="18" t="s">
        <v>62</v>
      </c>
    </row>
    <row r="38" customFormat="false" ht="15" hidden="false" customHeight="false" outlineLevel="0" collapsed="false">
      <c r="A38" s="18" t="s">
        <v>10</v>
      </c>
      <c r="B38" s="18" t="s">
        <v>3</v>
      </c>
      <c r="C38" s="18" t="s">
        <v>153</v>
      </c>
      <c r="D38" s="18" t="s">
        <v>154</v>
      </c>
      <c r="E38" s="18" t="s">
        <v>93</v>
      </c>
      <c r="F38" s="19" t="n">
        <f aca="false">Cantidades_Modelo!$C$53</f>
        <v>7367.82</v>
      </c>
      <c r="G38" s="20" t="n">
        <v>4200</v>
      </c>
      <c r="H38" s="21" t="n">
        <f aca="false">F38*G38</f>
        <v>30944844</v>
      </c>
      <c r="I38" s="18" t="s">
        <v>155</v>
      </c>
      <c r="J38" s="18" t="s">
        <v>62</v>
      </c>
    </row>
    <row r="39" customFormat="false" ht="15" hidden="false" customHeight="false" outlineLevel="0" collapsed="false">
      <c r="A39" s="18" t="s">
        <v>10</v>
      </c>
      <c r="B39" s="18" t="s">
        <v>3</v>
      </c>
      <c r="C39" s="18" t="s">
        <v>156</v>
      </c>
      <c r="D39" s="18" t="s">
        <v>157</v>
      </c>
      <c r="E39" s="18" t="s">
        <v>116</v>
      </c>
      <c r="F39" s="19" t="n">
        <f aca="false">$F$38*Supuestos!$C$37</f>
        <v>1620920.4</v>
      </c>
      <c r="G39" s="20" t="n">
        <v>31</v>
      </c>
      <c r="H39" s="21" t="n">
        <f aca="false">F39*G39</f>
        <v>50248532.4</v>
      </c>
      <c r="I39" s="18" t="s">
        <v>117</v>
      </c>
      <c r="J39" s="18" t="s">
        <v>62</v>
      </c>
    </row>
    <row r="40" customFormat="false" ht="15" hidden="false" customHeight="false" outlineLevel="0" collapsed="false">
      <c r="A40" s="18" t="s">
        <v>10</v>
      </c>
      <c r="B40" s="18" t="s">
        <v>3</v>
      </c>
      <c r="C40" s="18" t="s">
        <v>158</v>
      </c>
      <c r="D40" s="18" t="s">
        <v>159</v>
      </c>
      <c r="E40" s="18" t="s">
        <v>60</v>
      </c>
      <c r="F40" s="19" t="n">
        <f aca="false">$F$38*Supuestos!$C$42</f>
        <v>36839.1</v>
      </c>
      <c r="G40" s="20" t="n">
        <v>780</v>
      </c>
      <c r="H40" s="21" t="n">
        <f aca="false">F40*G40</f>
        <v>28734498</v>
      </c>
      <c r="I40" s="18" t="s">
        <v>142</v>
      </c>
      <c r="J40" s="18" t="s">
        <v>62</v>
      </c>
    </row>
    <row r="41" customFormat="false" ht="15" hidden="false" customHeight="false" outlineLevel="0" collapsed="false">
      <c r="A41" s="18" t="s">
        <v>10</v>
      </c>
      <c r="B41" s="18" t="s">
        <v>3</v>
      </c>
      <c r="C41" s="18" t="s">
        <v>160</v>
      </c>
      <c r="D41" s="18" t="s">
        <v>161</v>
      </c>
      <c r="E41" s="18" t="s">
        <v>93</v>
      </c>
      <c r="F41" s="19" t="n">
        <f aca="false">16*Supuestos!$C$30+8*Supuestos!$C$31</f>
        <v>10552</v>
      </c>
      <c r="G41" s="20" t="n">
        <v>3800</v>
      </c>
      <c r="H41" s="21" t="n">
        <f aca="false">F41*G41</f>
        <v>40097600</v>
      </c>
      <c r="I41" s="18" t="s">
        <v>145</v>
      </c>
      <c r="J41" s="18" t="s">
        <v>62</v>
      </c>
    </row>
    <row r="42" customFormat="false" ht="15" hidden="false" customHeight="false" outlineLevel="0" collapsed="false">
      <c r="A42" s="18" t="s">
        <v>10</v>
      </c>
      <c r="B42" s="18" t="s">
        <v>3</v>
      </c>
      <c r="C42" s="18" t="s">
        <v>162</v>
      </c>
      <c r="D42" s="18" t="s">
        <v>163</v>
      </c>
      <c r="E42" s="18" t="s">
        <v>116</v>
      </c>
      <c r="F42" s="19" t="n">
        <f aca="false">$F$41*Supuestos!$C$34</f>
        <v>1266240</v>
      </c>
      <c r="G42" s="20" t="n">
        <v>31</v>
      </c>
      <c r="H42" s="21" t="n">
        <f aca="false">F42*G42</f>
        <v>39253440</v>
      </c>
      <c r="I42" s="18" t="s">
        <v>117</v>
      </c>
      <c r="J42" s="18" t="s">
        <v>62</v>
      </c>
    </row>
    <row r="43" customFormat="false" ht="15" hidden="false" customHeight="false" outlineLevel="0" collapsed="false">
      <c r="A43" s="18" t="s">
        <v>10</v>
      </c>
      <c r="B43" s="18" t="s">
        <v>3</v>
      </c>
      <c r="C43" s="18" t="s">
        <v>164</v>
      </c>
      <c r="D43" s="18" t="s">
        <v>165</v>
      </c>
      <c r="E43" s="18" t="s">
        <v>60</v>
      </c>
      <c r="F43" s="19" t="n">
        <f aca="false">$F$41*Supuestos!$C$41</f>
        <v>70698.4</v>
      </c>
      <c r="G43" s="20" t="n">
        <v>560</v>
      </c>
      <c r="H43" s="21" t="n">
        <f aca="false">F43*G43</f>
        <v>39591104</v>
      </c>
      <c r="I43" s="18" t="s">
        <v>142</v>
      </c>
      <c r="J43" s="18" t="s">
        <v>62</v>
      </c>
    </row>
    <row r="44" customFormat="false" ht="15" hidden="false" customHeight="false" outlineLevel="0" collapsed="false">
      <c r="A44" s="18" t="s">
        <v>10</v>
      </c>
      <c r="B44" s="18" t="s">
        <v>3</v>
      </c>
      <c r="C44" s="18" t="s">
        <v>166</v>
      </c>
      <c r="D44" s="18" t="s">
        <v>167</v>
      </c>
      <c r="E44" s="18" t="s">
        <v>93</v>
      </c>
      <c r="F44" s="22" t="n">
        <v>6200</v>
      </c>
      <c r="G44" s="20" t="n">
        <v>3700</v>
      </c>
      <c r="H44" s="21" t="n">
        <f aca="false">F44*G44</f>
        <v>22940000</v>
      </c>
      <c r="I44" s="18" t="s">
        <v>113</v>
      </c>
      <c r="J44" s="18" t="s">
        <v>84</v>
      </c>
    </row>
    <row r="45" customFormat="false" ht="15" hidden="false" customHeight="false" outlineLevel="0" collapsed="false">
      <c r="A45" s="18" t="s">
        <v>10</v>
      </c>
      <c r="B45" s="18" t="s">
        <v>5</v>
      </c>
      <c r="C45" s="18" t="s">
        <v>168</v>
      </c>
      <c r="D45" s="18" t="s">
        <v>169</v>
      </c>
      <c r="E45" s="18" t="s">
        <v>93</v>
      </c>
      <c r="F45" s="19" t="n">
        <f aca="false">Cantidades_Modelo!$C$18*Supuestos!$C$24</f>
        <v>69579.7585</v>
      </c>
      <c r="G45" s="20" t="n">
        <v>3450</v>
      </c>
      <c r="H45" s="21" t="n">
        <f aca="false">F45*G45</f>
        <v>240050166.825</v>
      </c>
      <c r="I45" s="18" t="s">
        <v>113</v>
      </c>
      <c r="J45" s="18" t="s">
        <v>62</v>
      </c>
    </row>
    <row r="46" customFormat="false" ht="15" hidden="false" customHeight="false" outlineLevel="0" collapsed="false">
      <c r="A46" s="18" t="s">
        <v>10</v>
      </c>
      <c r="B46" s="18" t="s">
        <v>5</v>
      </c>
      <c r="C46" s="18" t="s">
        <v>170</v>
      </c>
      <c r="D46" s="18" t="s">
        <v>171</v>
      </c>
      <c r="E46" s="18" t="s">
        <v>93</v>
      </c>
      <c r="F46" s="19" t="n">
        <f aca="false">Cantidades_Modelo!$C$19*Supuestos!$C$25</f>
        <v>90136.728</v>
      </c>
      <c r="G46" s="20" t="n">
        <v>3450</v>
      </c>
      <c r="H46" s="21" t="n">
        <f aca="false">F46*G46</f>
        <v>310971711.6</v>
      </c>
      <c r="I46" s="18" t="s">
        <v>113</v>
      </c>
      <c r="J46" s="18" t="s">
        <v>62</v>
      </c>
    </row>
    <row r="47" customFormat="false" ht="15" hidden="false" customHeight="false" outlineLevel="0" collapsed="false">
      <c r="A47" s="18" t="s">
        <v>10</v>
      </c>
      <c r="B47" s="18" t="s">
        <v>5</v>
      </c>
      <c r="C47" s="18" t="s">
        <v>172</v>
      </c>
      <c r="D47" s="18" t="s">
        <v>173</v>
      </c>
      <c r="E47" s="18" t="s">
        <v>116</v>
      </c>
      <c r="F47" s="19" t="n">
        <f aca="false">($F$45+$F$46)*Supuestos!$C$36</f>
        <v>17568813.515</v>
      </c>
      <c r="G47" s="20" t="n">
        <v>31</v>
      </c>
      <c r="H47" s="21" t="n">
        <f aca="false">F47*G47</f>
        <v>544633218.965</v>
      </c>
      <c r="I47" s="18" t="s">
        <v>117</v>
      </c>
      <c r="J47" s="18" t="s">
        <v>62</v>
      </c>
    </row>
    <row r="48" customFormat="false" ht="15" hidden="false" customHeight="false" outlineLevel="0" collapsed="false">
      <c r="A48" s="18" t="s">
        <v>10</v>
      </c>
      <c r="B48" s="18" t="s">
        <v>5</v>
      </c>
      <c r="C48" s="18" t="s">
        <v>174</v>
      </c>
      <c r="D48" s="18" t="s">
        <v>175</v>
      </c>
      <c r="E48" s="18" t="s">
        <v>116</v>
      </c>
      <c r="F48" s="19" t="n">
        <f aca="false">(Cantidades_Modelo!$C$18+Cantidades_Modelo!$C$19)*Supuestos!$C$39</f>
        <v>3141244.71</v>
      </c>
      <c r="G48" s="20" t="n">
        <v>78</v>
      </c>
      <c r="H48" s="21" t="n">
        <f aca="false">F48*G48</f>
        <v>245017087.38</v>
      </c>
      <c r="I48" s="18" t="s">
        <v>150</v>
      </c>
      <c r="J48" s="18" t="s">
        <v>62</v>
      </c>
    </row>
    <row r="49" customFormat="false" ht="15" hidden="false" customHeight="false" outlineLevel="0" collapsed="false">
      <c r="A49" s="18" t="s">
        <v>10</v>
      </c>
      <c r="B49" s="18" t="s">
        <v>5</v>
      </c>
      <c r="C49" s="18" t="s">
        <v>176</v>
      </c>
      <c r="D49" s="18" t="s">
        <v>177</v>
      </c>
      <c r="E49" s="18" t="s">
        <v>60</v>
      </c>
      <c r="F49" s="19" t="n">
        <f aca="false">($F$45+$F$46)*Supuestos!$C$40</f>
        <v>479149.4595</v>
      </c>
      <c r="G49" s="20" t="n">
        <v>470</v>
      </c>
      <c r="H49" s="21" t="n">
        <f aca="false">F49*G49</f>
        <v>225200245.965</v>
      </c>
      <c r="I49" s="18" t="s">
        <v>142</v>
      </c>
      <c r="J49" s="18" t="s">
        <v>62</v>
      </c>
    </row>
    <row r="50" customFormat="false" ht="15" hidden="false" customHeight="false" outlineLevel="0" collapsed="false">
      <c r="A50" s="18" t="s">
        <v>10</v>
      </c>
      <c r="B50" s="18" t="s">
        <v>5</v>
      </c>
      <c r="C50" s="18" t="s">
        <v>178</v>
      </c>
      <c r="D50" s="18" t="s">
        <v>179</v>
      </c>
      <c r="E50" s="18" t="s">
        <v>93</v>
      </c>
      <c r="F50" s="19" t="n">
        <f aca="false">Cantidades_Modelo!$C$24*Supuestos!$C$28</f>
        <v>8212.32</v>
      </c>
      <c r="G50" s="20" t="n">
        <v>4000</v>
      </c>
      <c r="H50" s="21" t="n">
        <f aca="false">F50*G50</f>
        <v>32849280</v>
      </c>
      <c r="I50" s="18" t="s">
        <v>145</v>
      </c>
      <c r="J50" s="18" t="s">
        <v>62</v>
      </c>
    </row>
    <row r="51" customFormat="false" ht="15" hidden="false" customHeight="false" outlineLevel="0" collapsed="false">
      <c r="A51" s="18" t="s">
        <v>10</v>
      </c>
      <c r="B51" s="18" t="s">
        <v>5</v>
      </c>
      <c r="C51" s="18" t="s">
        <v>180</v>
      </c>
      <c r="D51" s="18" t="s">
        <v>181</v>
      </c>
      <c r="E51" s="18" t="s">
        <v>116</v>
      </c>
      <c r="F51" s="19" t="n">
        <f aca="false">$F$50*Supuestos!$C$37</f>
        <v>1806710.4</v>
      </c>
      <c r="G51" s="20" t="n">
        <v>31</v>
      </c>
      <c r="H51" s="21" t="n">
        <f aca="false">F51*G51</f>
        <v>56008022.4</v>
      </c>
      <c r="I51" s="18" t="s">
        <v>117</v>
      </c>
      <c r="J51" s="18" t="s">
        <v>62</v>
      </c>
    </row>
    <row r="52" customFormat="false" ht="15" hidden="false" customHeight="false" outlineLevel="0" collapsed="false">
      <c r="A52" s="18" t="s">
        <v>10</v>
      </c>
      <c r="B52" s="18" t="s">
        <v>5</v>
      </c>
      <c r="C52" s="18" t="s">
        <v>182</v>
      </c>
      <c r="D52" s="18" t="s">
        <v>183</v>
      </c>
      <c r="E52" s="18" t="s">
        <v>60</v>
      </c>
      <c r="F52" s="19" t="n">
        <f aca="false">$F$50*Supuestos!$C$42</f>
        <v>41061.6</v>
      </c>
      <c r="G52" s="20" t="n">
        <v>560</v>
      </c>
      <c r="H52" s="21" t="n">
        <f aca="false">F52*G52</f>
        <v>22994496</v>
      </c>
      <c r="I52" s="18" t="s">
        <v>142</v>
      </c>
      <c r="J52" s="18" t="s">
        <v>62</v>
      </c>
    </row>
    <row r="53" customFormat="false" ht="15" hidden="false" customHeight="false" outlineLevel="0" collapsed="false">
      <c r="A53" s="18" t="s">
        <v>10</v>
      </c>
      <c r="B53" s="18" t="s">
        <v>3</v>
      </c>
      <c r="C53" s="18" t="s">
        <v>184</v>
      </c>
      <c r="D53" s="18" t="s">
        <v>185</v>
      </c>
      <c r="E53" s="18" t="s">
        <v>116</v>
      </c>
      <c r="F53" s="19" t="n">
        <f aca="false">$F$44*Supuestos!$C$34</f>
        <v>744000</v>
      </c>
      <c r="G53" s="20" t="n">
        <v>31</v>
      </c>
      <c r="H53" s="21" t="n">
        <f aca="false">F53*G53</f>
        <v>23064000</v>
      </c>
      <c r="I53" s="18" t="s">
        <v>117</v>
      </c>
      <c r="J53" s="18" t="s">
        <v>62</v>
      </c>
    </row>
    <row r="54" customFormat="false" ht="15" hidden="false" customHeight="false" outlineLevel="0" collapsed="false">
      <c r="A54" s="18" t="s">
        <v>10</v>
      </c>
      <c r="B54" s="18" t="s">
        <v>5</v>
      </c>
      <c r="C54" s="18" t="s">
        <v>186</v>
      </c>
      <c r="D54" s="18" t="s">
        <v>187</v>
      </c>
      <c r="E54" s="18" t="s">
        <v>116</v>
      </c>
      <c r="F54" s="19" t="n">
        <f aca="false">$F$69*Supuestos!$C$34</f>
        <v>323269.8</v>
      </c>
      <c r="G54" s="20" t="n">
        <v>31</v>
      </c>
      <c r="H54" s="21" t="n">
        <f aca="false">F54*G54</f>
        <v>10021363.8</v>
      </c>
      <c r="I54" s="18" t="s">
        <v>117</v>
      </c>
      <c r="J54" s="18" t="s">
        <v>62</v>
      </c>
    </row>
    <row r="55" customFormat="false" ht="15" hidden="false" customHeight="false" outlineLevel="0" collapsed="false">
      <c r="A55" s="18" t="s">
        <v>10</v>
      </c>
      <c r="B55" s="18" t="s">
        <v>5</v>
      </c>
      <c r="C55" s="18" t="s">
        <v>188</v>
      </c>
      <c r="D55" s="18" t="s">
        <v>189</v>
      </c>
      <c r="E55" s="18" t="s">
        <v>93</v>
      </c>
      <c r="F55" s="19" t="n">
        <f aca="false">4*1150</f>
        <v>4600</v>
      </c>
      <c r="G55" s="20" t="n">
        <v>4100</v>
      </c>
      <c r="H55" s="21" t="n">
        <f aca="false">F55*G55</f>
        <v>18860000</v>
      </c>
      <c r="I55" s="18" t="s">
        <v>113</v>
      </c>
      <c r="J55" s="18" t="s">
        <v>62</v>
      </c>
    </row>
    <row r="56" customFormat="false" ht="15" hidden="false" customHeight="false" outlineLevel="0" collapsed="false">
      <c r="A56" s="18" t="s">
        <v>10</v>
      </c>
      <c r="B56" s="18" t="s">
        <v>5</v>
      </c>
      <c r="C56" s="18" t="s">
        <v>190</v>
      </c>
      <c r="D56" s="18" t="s">
        <v>191</v>
      </c>
      <c r="E56" s="18" t="s">
        <v>93</v>
      </c>
      <c r="F56" s="19" t="n">
        <f aca="false">(16+Cantidades_Modelo!$C$68)*2*14</f>
        <v>1624</v>
      </c>
      <c r="G56" s="20" t="n">
        <v>4300</v>
      </c>
      <c r="H56" s="21" t="n">
        <f aca="false">F56*G56</f>
        <v>6983200</v>
      </c>
      <c r="I56" s="18" t="s">
        <v>192</v>
      </c>
      <c r="J56" s="18" t="s">
        <v>62</v>
      </c>
    </row>
    <row r="57" customFormat="false" ht="15" hidden="false" customHeight="false" outlineLevel="0" collapsed="false">
      <c r="A57" s="18" t="s">
        <v>10</v>
      </c>
      <c r="B57" s="18" t="s">
        <v>5</v>
      </c>
      <c r="C57" s="18" t="s">
        <v>193</v>
      </c>
      <c r="D57" s="18" t="s">
        <v>194</v>
      </c>
      <c r="E57" s="18" t="s">
        <v>65</v>
      </c>
      <c r="F57" s="19" t="n">
        <f aca="false">8*2*2*45+Cantidades_Modelo!$C$22*4</f>
        <v>5417.64</v>
      </c>
      <c r="G57" s="20" t="n">
        <v>9800</v>
      </c>
      <c r="H57" s="21" t="n">
        <f aca="false">F57*G57</f>
        <v>53092872</v>
      </c>
      <c r="I57" s="18" t="s">
        <v>195</v>
      </c>
      <c r="J57" s="18" t="s">
        <v>62</v>
      </c>
    </row>
    <row r="58" customFormat="false" ht="15" hidden="false" customHeight="false" outlineLevel="0" collapsed="false">
      <c r="A58" s="18" t="s">
        <v>10</v>
      </c>
      <c r="B58" s="18" t="s">
        <v>4</v>
      </c>
      <c r="C58" s="18" t="s">
        <v>196</v>
      </c>
      <c r="D58" s="18" t="s">
        <v>197</v>
      </c>
      <c r="E58" s="18" t="s">
        <v>93</v>
      </c>
      <c r="F58" s="19" t="n">
        <f aca="false">Cantidades_Modelo!$C$26*Supuestos!$C$26</f>
        <v>115825.218</v>
      </c>
      <c r="G58" s="20" t="n">
        <v>3550</v>
      </c>
      <c r="H58" s="21" t="n">
        <f aca="false">F58*G58</f>
        <v>411179523.9</v>
      </c>
      <c r="I58" s="18" t="s">
        <v>145</v>
      </c>
      <c r="J58" s="18" t="s">
        <v>62</v>
      </c>
    </row>
    <row r="59" customFormat="false" ht="15" hidden="false" customHeight="false" outlineLevel="0" collapsed="false">
      <c r="A59" s="18" t="s">
        <v>10</v>
      </c>
      <c r="B59" s="18" t="s">
        <v>4</v>
      </c>
      <c r="C59" s="18" t="s">
        <v>198</v>
      </c>
      <c r="D59" s="18" t="s">
        <v>199</v>
      </c>
      <c r="E59" s="18" t="s">
        <v>93</v>
      </c>
      <c r="F59" s="19" t="n">
        <f aca="false">Cantidades_Modelo!$C$27*Supuestos!$C$27</f>
        <v>18872.703</v>
      </c>
      <c r="G59" s="20" t="n">
        <v>3550</v>
      </c>
      <c r="H59" s="21" t="n">
        <f aca="false">F59*G59</f>
        <v>66998095.65</v>
      </c>
      <c r="I59" s="18" t="s">
        <v>145</v>
      </c>
      <c r="J59" s="18" t="s">
        <v>62</v>
      </c>
    </row>
    <row r="60" customFormat="false" ht="15" hidden="false" customHeight="false" outlineLevel="0" collapsed="false">
      <c r="A60" s="18" t="s">
        <v>10</v>
      </c>
      <c r="B60" s="18" t="s">
        <v>4</v>
      </c>
      <c r="C60" s="18" t="s">
        <v>200</v>
      </c>
      <c r="D60" s="18" t="s">
        <v>201</v>
      </c>
      <c r="E60" s="18" t="s">
        <v>116</v>
      </c>
      <c r="F60" s="19" t="n">
        <f aca="false">($F$58+$F$59)*Supuestos!$C$36</f>
        <v>14816771.31</v>
      </c>
      <c r="G60" s="20" t="n">
        <v>31</v>
      </c>
      <c r="H60" s="21" t="n">
        <f aca="false">F60*G60</f>
        <v>459319910.61</v>
      </c>
      <c r="I60" s="18" t="s">
        <v>117</v>
      </c>
      <c r="J60" s="18" t="s">
        <v>62</v>
      </c>
    </row>
    <row r="61" customFormat="false" ht="15" hidden="false" customHeight="false" outlineLevel="0" collapsed="false">
      <c r="A61" s="18" t="s">
        <v>10</v>
      </c>
      <c r="B61" s="18" t="s">
        <v>4</v>
      </c>
      <c r="C61" s="18" t="s">
        <v>202</v>
      </c>
      <c r="D61" s="18" t="s">
        <v>203</v>
      </c>
      <c r="E61" s="18" t="s">
        <v>116</v>
      </c>
      <c r="F61" s="19" t="n">
        <f aca="false">(Cantidades_Modelo!$C$26+Cantidades_Modelo!$C$27)*Supuestos!$C$39</f>
        <v>3852210.6</v>
      </c>
      <c r="G61" s="20" t="n">
        <v>78</v>
      </c>
      <c r="H61" s="21" t="n">
        <f aca="false">F61*G61</f>
        <v>300472426.8</v>
      </c>
      <c r="I61" s="18" t="s">
        <v>150</v>
      </c>
      <c r="J61" s="18" t="s">
        <v>62</v>
      </c>
    </row>
    <row r="62" customFormat="false" ht="15" hidden="false" customHeight="false" outlineLevel="0" collapsed="false">
      <c r="A62" s="18" t="s">
        <v>10</v>
      </c>
      <c r="B62" s="18" t="s">
        <v>4</v>
      </c>
      <c r="C62" s="18" t="s">
        <v>204</v>
      </c>
      <c r="D62" s="18" t="s">
        <v>205</v>
      </c>
      <c r="E62" s="18" t="s">
        <v>60</v>
      </c>
      <c r="F62" s="19" t="n">
        <f aca="false">($F$58+$F$59)*Supuestos!$C$40</f>
        <v>404093.763</v>
      </c>
      <c r="G62" s="20" t="n">
        <v>520</v>
      </c>
      <c r="H62" s="21" t="n">
        <f aca="false">F62*G62</f>
        <v>210128756.76</v>
      </c>
      <c r="I62" s="18" t="s">
        <v>142</v>
      </c>
      <c r="J62" s="18" t="s">
        <v>62</v>
      </c>
    </row>
    <row r="63" customFormat="false" ht="15" hidden="false" customHeight="false" outlineLevel="0" collapsed="false">
      <c r="A63" s="18" t="s">
        <v>10</v>
      </c>
      <c r="B63" s="18" t="s">
        <v>4</v>
      </c>
      <c r="C63" s="18" t="s">
        <v>206</v>
      </c>
      <c r="D63" s="18" t="s">
        <v>207</v>
      </c>
      <c r="E63" s="18" t="s">
        <v>93</v>
      </c>
      <c r="F63" s="19" t="n">
        <f aca="false">Cantidades_Modelo!$C$25*Supuestos!$C$29</f>
        <v>19918.08</v>
      </c>
      <c r="G63" s="20" t="n">
        <v>4200</v>
      </c>
      <c r="H63" s="21" t="n">
        <f aca="false">F63*G63</f>
        <v>83655936</v>
      </c>
      <c r="I63" s="18" t="s">
        <v>155</v>
      </c>
      <c r="J63" s="18" t="s">
        <v>62</v>
      </c>
    </row>
    <row r="64" customFormat="false" ht="15" hidden="false" customHeight="false" outlineLevel="0" collapsed="false">
      <c r="A64" s="18" t="s">
        <v>10</v>
      </c>
      <c r="B64" s="18" t="s">
        <v>4</v>
      </c>
      <c r="C64" s="18" t="s">
        <v>208</v>
      </c>
      <c r="D64" s="18" t="s">
        <v>209</v>
      </c>
      <c r="E64" s="18" t="s">
        <v>116</v>
      </c>
      <c r="F64" s="19" t="n">
        <f aca="false">$F$63*Supuestos!$C$37</f>
        <v>4381977.6</v>
      </c>
      <c r="G64" s="20" t="n">
        <v>31</v>
      </c>
      <c r="H64" s="21" t="n">
        <f aca="false">F64*G64</f>
        <v>135841305.6</v>
      </c>
      <c r="I64" s="18" t="s">
        <v>117</v>
      </c>
      <c r="J64" s="18" t="s">
        <v>62</v>
      </c>
    </row>
    <row r="65" customFormat="false" ht="15" hidden="false" customHeight="false" outlineLevel="0" collapsed="false">
      <c r="A65" s="18" t="s">
        <v>10</v>
      </c>
      <c r="B65" s="18" t="s">
        <v>4</v>
      </c>
      <c r="C65" s="18" t="s">
        <v>210</v>
      </c>
      <c r="D65" s="18" t="s">
        <v>211</v>
      </c>
      <c r="E65" s="18" t="s">
        <v>60</v>
      </c>
      <c r="F65" s="19" t="n">
        <f aca="false">$F$63*Supuestos!$C$42</f>
        <v>99590.4</v>
      </c>
      <c r="G65" s="20" t="n">
        <v>690</v>
      </c>
      <c r="H65" s="21" t="n">
        <f aca="false">F65*G65</f>
        <v>68717376</v>
      </c>
      <c r="I65" s="18" t="s">
        <v>142</v>
      </c>
      <c r="J65" s="18" t="s">
        <v>62</v>
      </c>
    </row>
    <row r="66" customFormat="false" ht="15" hidden="false" customHeight="false" outlineLevel="0" collapsed="false">
      <c r="A66" s="18" t="s">
        <v>10</v>
      </c>
      <c r="B66" s="18" t="s">
        <v>4</v>
      </c>
      <c r="C66" s="18" t="s">
        <v>212</v>
      </c>
      <c r="D66" s="18" t="s">
        <v>213</v>
      </c>
      <c r="E66" s="18" t="s">
        <v>93</v>
      </c>
      <c r="F66" s="19" t="n">
        <f aca="false">Cantidades_Modelo!$C$68*Supuestos!$C$32</f>
        <v>27300</v>
      </c>
      <c r="G66" s="20" t="n">
        <v>3800</v>
      </c>
      <c r="H66" s="21" t="n">
        <f aca="false">F66*G66</f>
        <v>103740000</v>
      </c>
      <c r="I66" s="18" t="s">
        <v>145</v>
      </c>
      <c r="J66" s="18" t="s">
        <v>62</v>
      </c>
    </row>
    <row r="67" customFormat="false" ht="15" hidden="false" customHeight="false" outlineLevel="0" collapsed="false">
      <c r="A67" s="18" t="s">
        <v>10</v>
      </c>
      <c r="B67" s="18" t="s">
        <v>4</v>
      </c>
      <c r="C67" s="18" t="s">
        <v>214</v>
      </c>
      <c r="D67" s="18" t="s">
        <v>215</v>
      </c>
      <c r="E67" s="18" t="s">
        <v>116</v>
      </c>
      <c r="F67" s="19" t="n">
        <f aca="false">$F$66*Supuestos!$C$34</f>
        <v>3276000</v>
      </c>
      <c r="G67" s="20" t="n">
        <v>31</v>
      </c>
      <c r="H67" s="21" t="n">
        <f aca="false">F67*G67</f>
        <v>101556000</v>
      </c>
      <c r="I67" s="18" t="s">
        <v>117</v>
      </c>
      <c r="J67" s="18" t="s">
        <v>62</v>
      </c>
    </row>
    <row r="68" customFormat="false" ht="15" hidden="false" customHeight="false" outlineLevel="0" collapsed="false">
      <c r="A68" s="18" t="s">
        <v>10</v>
      </c>
      <c r="B68" s="18" t="s">
        <v>4</v>
      </c>
      <c r="C68" s="18" t="s">
        <v>216</v>
      </c>
      <c r="D68" s="18" t="s">
        <v>217</v>
      </c>
      <c r="E68" s="18" t="s">
        <v>60</v>
      </c>
      <c r="F68" s="19" t="n">
        <f aca="false">$F$66*Supuestos!$C$41</f>
        <v>182910</v>
      </c>
      <c r="G68" s="20" t="n">
        <v>540</v>
      </c>
      <c r="H68" s="21" t="n">
        <f aca="false">F68*G68</f>
        <v>98771400</v>
      </c>
      <c r="I68" s="18" t="s">
        <v>142</v>
      </c>
      <c r="J68" s="18" t="s">
        <v>62</v>
      </c>
    </row>
    <row r="69" customFormat="false" ht="15" hidden="false" customHeight="false" outlineLevel="0" collapsed="false">
      <c r="A69" s="18" t="s">
        <v>10</v>
      </c>
      <c r="B69" s="18" t="s">
        <v>5</v>
      </c>
      <c r="C69" s="18" t="s">
        <v>218</v>
      </c>
      <c r="D69" s="18" t="s">
        <v>219</v>
      </c>
      <c r="E69" s="18" t="s">
        <v>93</v>
      </c>
      <c r="F69" s="19" t="n">
        <f aca="false">Cantidades_Modelo!$C$74*0.35</f>
        <v>2693.915</v>
      </c>
      <c r="G69" s="20" t="n">
        <v>4600</v>
      </c>
      <c r="H69" s="21" t="n">
        <f aca="false">F69*G69</f>
        <v>12392009</v>
      </c>
      <c r="I69" s="18" t="s">
        <v>220</v>
      </c>
      <c r="J69" s="18" t="s">
        <v>62</v>
      </c>
    </row>
    <row r="70" customFormat="false" ht="15" hidden="false" customHeight="false" outlineLevel="0" collapsed="false">
      <c r="A70" s="18" t="s">
        <v>10</v>
      </c>
      <c r="B70" s="18" t="s">
        <v>5</v>
      </c>
      <c r="C70" s="18" t="s">
        <v>221</v>
      </c>
      <c r="D70" s="18" t="s">
        <v>222</v>
      </c>
      <c r="E70" s="18" t="s">
        <v>103</v>
      </c>
      <c r="F70" s="22" t="n">
        <v>420</v>
      </c>
      <c r="G70" s="20" t="n">
        <v>950000</v>
      </c>
      <c r="H70" s="21" t="n">
        <f aca="false">F70*G70</f>
        <v>399000000</v>
      </c>
      <c r="I70" s="18" t="s">
        <v>223</v>
      </c>
      <c r="J70" s="18" t="s">
        <v>84</v>
      </c>
    </row>
    <row r="71" customFormat="false" ht="15" hidden="false" customHeight="false" outlineLevel="0" collapsed="false">
      <c r="A71" s="16" t="s">
        <v>11</v>
      </c>
      <c r="B71" s="17"/>
      <c r="C71" s="17"/>
      <c r="D71" s="17"/>
      <c r="E71" s="17"/>
      <c r="F71" s="17"/>
      <c r="G71" s="17"/>
      <c r="H71" s="17"/>
      <c r="I71" s="17"/>
      <c r="J71" s="17"/>
    </row>
    <row r="72" customFormat="false" ht="15" hidden="false" customHeight="false" outlineLevel="0" collapsed="false">
      <c r="A72" s="18" t="s">
        <v>11</v>
      </c>
      <c r="B72" s="18" t="s">
        <v>3</v>
      </c>
      <c r="C72" s="18" t="s">
        <v>224</v>
      </c>
      <c r="D72" s="18" t="s">
        <v>225</v>
      </c>
      <c r="E72" s="18" t="s">
        <v>93</v>
      </c>
      <c r="F72" s="19" t="n">
        <f aca="false">Cantidades_Modelo!$C$41*Supuestos!$C$49</f>
        <v>5618.5115</v>
      </c>
      <c r="G72" s="20" t="n">
        <v>78000</v>
      </c>
      <c r="H72" s="21" t="n">
        <f aca="false">F72*G72</f>
        <v>438243897</v>
      </c>
      <c r="I72" s="18" t="s">
        <v>226</v>
      </c>
      <c r="J72" s="18" t="s">
        <v>62</v>
      </c>
    </row>
    <row r="73" customFormat="false" ht="15" hidden="false" customHeight="false" outlineLevel="0" collapsed="false">
      <c r="A73" s="18" t="s">
        <v>11</v>
      </c>
      <c r="B73" s="18" t="s">
        <v>3</v>
      </c>
      <c r="C73" s="18" t="s">
        <v>227</v>
      </c>
      <c r="D73" s="18" t="s">
        <v>228</v>
      </c>
      <c r="E73" s="18" t="s">
        <v>116</v>
      </c>
      <c r="F73" s="19" t="n">
        <f aca="false">$F$72*55</f>
        <v>309018.1325</v>
      </c>
      <c r="G73" s="20" t="n">
        <v>115</v>
      </c>
      <c r="H73" s="21" t="n">
        <f aca="false">F73*G73</f>
        <v>35537085.2375</v>
      </c>
      <c r="I73" s="18" t="s">
        <v>229</v>
      </c>
      <c r="J73" s="18" t="s">
        <v>62</v>
      </c>
    </row>
    <row r="74" customFormat="false" ht="15" hidden="false" customHeight="false" outlineLevel="0" collapsed="false">
      <c r="A74" s="18" t="s">
        <v>11</v>
      </c>
      <c r="B74" s="18" t="s">
        <v>3</v>
      </c>
      <c r="C74" s="18" t="s">
        <v>230</v>
      </c>
      <c r="D74" s="18" t="s">
        <v>231</v>
      </c>
      <c r="E74" s="18" t="s">
        <v>93</v>
      </c>
      <c r="F74" s="19" t="n">
        <f aca="false">Cantidades_Modelo!$C$40*Supuestos!$C$50</f>
        <v>2562.6117</v>
      </c>
      <c r="G74" s="20" t="n">
        <v>62000</v>
      </c>
      <c r="H74" s="21" t="n">
        <f aca="false">F74*G74</f>
        <v>158881925.4</v>
      </c>
      <c r="I74" s="18" t="s">
        <v>232</v>
      </c>
      <c r="J74" s="18" t="s">
        <v>62</v>
      </c>
    </row>
    <row r="75" customFormat="false" ht="15" hidden="false" customHeight="false" outlineLevel="0" collapsed="false">
      <c r="A75" s="18" t="s">
        <v>11</v>
      </c>
      <c r="B75" s="18" t="s">
        <v>3</v>
      </c>
      <c r="C75" s="18" t="s">
        <v>233</v>
      </c>
      <c r="D75" s="18" t="s">
        <v>234</v>
      </c>
      <c r="E75" s="18" t="s">
        <v>60</v>
      </c>
      <c r="F75" s="19" t="n">
        <f aca="false">Cantidades_Modelo!$C$22*48*0.18</f>
        <v>8591.7024</v>
      </c>
      <c r="G75" s="20" t="n">
        <v>6800</v>
      </c>
      <c r="H75" s="21" t="n">
        <f aca="false">F75*G75</f>
        <v>58423576.32</v>
      </c>
      <c r="I75" s="18" t="s">
        <v>235</v>
      </c>
      <c r="J75" s="18" t="s">
        <v>62</v>
      </c>
    </row>
    <row r="76" customFormat="false" ht="15" hidden="false" customHeight="false" outlineLevel="0" collapsed="false">
      <c r="A76" s="18" t="s">
        <v>11</v>
      </c>
      <c r="B76" s="18" t="s">
        <v>3</v>
      </c>
      <c r="C76" s="18" t="s">
        <v>236</v>
      </c>
      <c r="D76" s="18" t="s">
        <v>237</v>
      </c>
      <c r="E76" s="18" t="s">
        <v>116</v>
      </c>
      <c r="F76" s="19" t="n">
        <f aca="false">Cantidades_Modelo!$C$51*Supuestos!$C$54</f>
        <v>413339.4</v>
      </c>
      <c r="G76" s="20" t="n">
        <v>125</v>
      </c>
      <c r="H76" s="21" t="n">
        <f aca="false">F76*G76</f>
        <v>51667425</v>
      </c>
      <c r="I76" s="18" t="s">
        <v>229</v>
      </c>
      <c r="J76" s="18" t="s">
        <v>62</v>
      </c>
    </row>
    <row r="77" customFormat="false" ht="15" hidden="false" customHeight="false" outlineLevel="0" collapsed="false">
      <c r="A77" s="18" t="s">
        <v>11</v>
      </c>
      <c r="B77" s="18" t="s">
        <v>3</v>
      </c>
      <c r="C77" s="18" t="s">
        <v>238</v>
      </c>
      <c r="D77" s="18" t="s">
        <v>239</v>
      </c>
      <c r="E77" s="18" t="s">
        <v>60</v>
      </c>
      <c r="F77" s="19" t="n">
        <f aca="false">Cantidades_Modelo!$C$51</f>
        <v>2296.33</v>
      </c>
      <c r="G77" s="20" t="n">
        <v>4200</v>
      </c>
      <c r="H77" s="21" t="n">
        <f aca="false">F77*G77</f>
        <v>9644586</v>
      </c>
      <c r="I77" s="18" t="s">
        <v>240</v>
      </c>
      <c r="J77" s="18" t="s">
        <v>62</v>
      </c>
    </row>
    <row r="78" customFormat="false" ht="15" hidden="false" customHeight="false" outlineLevel="0" collapsed="false">
      <c r="A78" s="18" t="s">
        <v>11</v>
      </c>
      <c r="B78" s="18" t="s">
        <v>3</v>
      </c>
      <c r="C78" s="18" t="s">
        <v>241</v>
      </c>
      <c r="D78" s="18" t="s">
        <v>242</v>
      </c>
      <c r="E78" s="18" t="s">
        <v>116</v>
      </c>
      <c r="F78" s="19" t="n">
        <f aca="false">(Cantidades_Modelo!$C$52+8*3*16)*Supuestos!$C$52</f>
        <v>614192.4</v>
      </c>
      <c r="G78" s="20" t="n">
        <v>105</v>
      </c>
      <c r="H78" s="21" t="n">
        <f aca="false">F78*G78</f>
        <v>64490202</v>
      </c>
      <c r="I78" s="18" t="s">
        <v>229</v>
      </c>
      <c r="J78" s="18" t="s">
        <v>62</v>
      </c>
    </row>
    <row r="79" customFormat="false" ht="15" hidden="false" customHeight="false" outlineLevel="0" collapsed="false">
      <c r="A79" s="18" t="s">
        <v>11</v>
      </c>
      <c r="B79" s="18" t="s">
        <v>3</v>
      </c>
      <c r="C79" s="18" t="s">
        <v>243</v>
      </c>
      <c r="D79" s="18" t="s">
        <v>244</v>
      </c>
      <c r="E79" s="18" t="s">
        <v>116</v>
      </c>
      <c r="F79" s="19" t="n">
        <f aca="false">Cantidades_Modelo!$C$50*Supuestos!$C$53</f>
        <v>706560</v>
      </c>
      <c r="G79" s="20" t="n">
        <v>98</v>
      </c>
      <c r="H79" s="21" t="n">
        <f aca="false">F79*G79</f>
        <v>69242880</v>
      </c>
      <c r="I79" s="18" t="s">
        <v>229</v>
      </c>
      <c r="J79" s="18" t="s">
        <v>62</v>
      </c>
    </row>
    <row r="80" customFormat="false" ht="15" hidden="false" customHeight="false" outlineLevel="0" collapsed="false">
      <c r="A80" s="18" t="s">
        <v>11</v>
      </c>
      <c r="B80" s="18" t="s">
        <v>3</v>
      </c>
      <c r="C80" s="18" t="s">
        <v>245</v>
      </c>
      <c r="D80" s="18" t="s">
        <v>246</v>
      </c>
      <c r="E80" s="18" t="s">
        <v>116</v>
      </c>
      <c r="F80" s="19" t="n">
        <f aca="false">24*26000</f>
        <v>624000</v>
      </c>
      <c r="G80" s="20" t="n">
        <v>98</v>
      </c>
      <c r="H80" s="21" t="n">
        <f aca="false">F80*G80</f>
        <v>61152000</v>
      </c>
      <c r="I80" s="18" t="s">
        <v>229</v>
      </c>
      <c r="J80" s="18" t="s">
        <v>62</v>
      </c>
    </row>
    <row r="81" customFormat="false" ht="15" hidden="false" customHeight="false" outlineLevel="0" collapsed="false">
      <c r="A81" s="18" t="s">
        <v>11</v>
      </c>
      <c r="B81" s="18" t="s">
        <v>4</v>
      </c>
      <c r="C81" s="18" t="s">
        <v>247</v>
      </c>
      <c r="D81" s="18" t="s">
        <v>248</v>
      </c>
      <c r="E81" s="18" t="s">
        <v>116</v>
      </c>
      <c r="F81" s="19" t="n">
        <f aca="false">Cantidades_Modelo!$C$34*Supuestos!$C$51</f>
        <v>3518187.3</v>
      </c>
      <c r="G81" s="20" t="n">
        <v>98</v>
      </c>
      <c r="H81" s="21" t="n">
        <f aca="false">F81*G81</f>
        <v>344782355.4</v>
      </c>
      <c r="I81" s="18" t="s">
        <v>229</v>
      </c>
      <c r="J81" s="18" t="s">
        <v>62</v>
      </c>
    </row>
    <row r="82" customFormat="false" ht="15" hidden="false" customHeight="false" outlineLevel="0" collapsed="false">
      <c r="A82" s="18" t="s">
        <v>11</v>
      </c>
      <c r="B82" s="18" t="s">
        <v>4</v>
      </c>
      <c r="C82" s="18" t="s">
        <v>249</v>
      </c>
      <c r="D82" s="18" t="s">
        <v>250</v>
      </c>
      <c r="E82" s="18" t="s">
        <v>116</v>
      </c>
      <c r="F82" s="19" t="n">
        <f aca="false">(Cantidades_Modelo!$C$37+Cantidades_Modelo!$C$38)*Supuestos!$C$52</f>
        <v>1330560</v>
      </c>
      <c r="G82" s="20" t="n">
        <v>110</v>
      </c>
      <c r="H82" s="21" t="n">
        <f aca="false">F82*G82</f>
        <v>146361600</v>
      </c>
      <c r="I82" s="18" t="s">
        <v>229</v>
      </c>
      <c r="J82" s="18" t="s">
        <v>62</v>
      </c>
    </row>
    <row r="83" customFormat="false" ht="15" hidden="false" customHeight="false" outlineLevel="0" collapsed="false">
      <c r="A83" s="18" t="s">
        <v>11</v>
      </c>
      <c r="B83" s="18" t="s">
        <v>4</v>
      </c>
      <c r="C83" s="18" t="s">
        <v>251</v>
      </c>
      <c r="D83" s="18" t="s">
        <v>252</v>
      </c>
      <c r="E83" s="18" t="s">
        <v>116</v>
      </c>
      <c r="F83" s="19" t="n">
        <f aca="false">Cantidades_Modelo!$C$73*Supuestos!$C$55</f>
        <v>220500</v>
      </c>
      <c r="G83" s="20" t="n">
        <v>95</v>
      </c>
      <c r="H83" s="21" t="n">
        <f aca="false">F83*G83</f>
        <v>20947500</v>
      </c>
      <c r="I83" s="18" t="s">
        <v>229</v>
      </c>
      <c r="J83" s="18" t="s">
        <v>62</v>
      </c>
    </row>
    <row r="84" customFormat="false" ht="15" hidden="false" customHeight="false" outlineLevel="0" collapsed="false">
      <c r="A84" s="18" t="s">
        <v>11</v>
      </c>
      <c r="B84" s="18" t="s">
        <v>4</v>
      </c>
      <c r="C84" s="18" t="s">
        <v>253</v>
      </c>
      <c r="D84" s="18" t="s">
        <v>254</v>
      </c>
      <c r="E84" s="18" t="s">
        <v>116</v>
      </c>
      <c r="F84" s="19" t="n">
        <f aca="false">Cantidades_Modelo!$C$68*4500</f>
        <v>189000</v>
      </c>
      <c r="G84" s="20" t="n">
        <v>105</v>
      </c>
      <c r="H84" s="21" t="n">
        <f aca="false">F84*G84</f>
        <v>19845000</v>
      </c>
      <c r="I84" s="18" t="s">
        <v>229</v>
      </c>
      <c r="J84" s="18" t="s">
        <v>62</v>
      </c>
    </row>
    <row r="85" customFormat="false" ht="15" hidden="false" customHeight="false" outlineLevel="0" collapsed="false">
      <c r="A85" s="16" t="s">
        <v>12</v>
      </c>
      <c r="B85" s="17"/>
      <c r="C85" s="17"/>
      <c r="D85" s="17"/>
      <c r="E85" s="17"/>
      <c r="F85" s="17"/>
      <c r="G85" s="17"/>
      <c r="H85" s="17"/>
      <c r="I85" s="17"/>
      <c r="J85" s="17"/>
    </row>
    <row r="86" customFormat="false" ht="15" hidden="false" customHeight="false" outlineLevel="0" collapsed="false">
      <c r="A86" s="18" t="s">
        <v>12</v>
      </c>
      <c r="B86" s="18" t="s">
        <v>3</v>
      </c>
      <c r="C86" s="18" t="s">
        <v>255</v>
      </c>
      <c r="D86" s="18" t="s">
        <v>256</v>
      </c>
      <c r="E86" s="18" t="s">
        <v>116</v>
      </c>
      <c r="F86" s="19" t="n">
        <f aca="false">(Cantidades_Modelo!$C$42+Cantidades_Modelo!$C$43)*Supuestos!$C$46</f>
        <v>8103833.45</v>
      </c>
      <c r="G86" s="20" t="n">
        <v>118</v>
      </c>
      <c r="H86" s="21" t="n">
        <f aca="false">F86*G86</f>
        <v>956252347.1</v>
      </c>
      <c r="I86" s="18" t="s">
        <v>257</v>
      </c>
      <c r="J86" s="18" t="s">
        <v>62</v>
      </c>
    </row>
    <row r="87" customFormat="false" ht="15" hidden="false" customHeight="false" outlineLevel="0" collapsed="false">
      <c r="A87" s="18" t="s">
        <v>12</v>
      </c>
      <c r="B87" s="18" t="s">
        <v>3</v>
      </c>
      <c r="C87" s="18" t="s">
        <v>258</v>
      </c>
      <c r="D87" s="18" t="s">
        <v>259</v>
      </c>
      <c r="E87" s="18" t="s">
        <v>60</v>
      </c>
      <c r="F87" s="19" t="n">
        <f aca="false">Cantidades_Modelo!$C$42</f>
        <v>37230.28</v>
      </c>
      <c r="G87" s="20" t="n">
        <v>15500</v>
      </c>
      <c r="H87" s="21" t="n">
        <f aca="false">F87*G87</f>
        <v>577069340</v>
      </c>
      <c r="I87" s="18" t="s">
        <v>260</v>
      </c>
      <c r="J87" s="18" t="s">
        <v>62</v>
      </c>
    </row>
    <row r="88" customFormat="false" ht="15" hidden="false" customHeight="false" outlineLevel="0" collapsed="false">
      <c r="A88" s="18" t="s">
        <v>12</v>
      </c>
      <c r="B88" s="18" t="s">
        <v>3</v>
      </c>
      <c r="C88" s="18" t="s">
        <v>261</v>
      </c>
      <c r="D88" s="18" t="s">
        <v>262</v>
      </c>
      <c r="E88" s="18" t="s">
        <v>60</v>
      </c>
      <c r="F88" s="19" t="n">
        <f aca="false">Cantidades_Modelo!$C$43</f>
        <v>48073.23</v>
      </c>
      <c r="G88" s="20" t="n">
        <v>6200</v>
      </c>
      <c r="H88" s="21" t="n">
        <f aca="false">F88*G88</f>
        <v>298054026</v>
      </c>
      <c r="I88" s="18" t="s">
        <v>263</v>
      </c>
      <c r="J88" s="18" t="s">
        <v>62</v>
      </c>
    </row>
    <row r="89" customFormat="false" ht="15" hidden="false" customHeight="false" outlineLevel="0" collapsed="false">
      <c r="A89" s="18" t="s">
        <v>12</v>
      </c>
      <c r="B89" s="18" t="s">
        <v>3</v>
      </c>
      <c r="C89" s="18" t="s">
        <v>264</v>
      </c>
      <c r="D89" s="18" t="s">
        <v>265</v>
      </c>
      <c r="E89" s="18" t="s">
        <v>60</v>
      </c>
      <c r="F89" s="19" t="n">
        <f aca="false">Cantidades_Modelo!$C$46</f>
        <v>40040.32</v>
      </c>
      <c r="G89" s="20" t="n">
        <v>3900</v>
      </c>
      <c r="H89" s="21" t="n">
        <f aca="false">F89*G89</f>
        <v>156157248</v>
      </c>
      <c r="I89" s="18" t="s">
        <v>266</v>
      </c>
      <c r="J89" s="18" t="s">
        <v>62</v>
      </c>
    </row>
    <row r="90" customFormat="false" ht="15" hidden="false" customHeight="false" outlineLevel="0" collapsed="false">
      <c r="A90" s="18" t="s">
        <v>12</v>
      </c>
      <c r="B90" s="18" t="s">
        <v>3</v>
      </c>
      <c r="C90" s="18" t="s">
        <v>267</v>
      </c>
      <c r="D90" s="18" t="s">
        <v>268</v>
      </c>
      <c r="E90" s="18" t="s">
        <v>60</v>
      </c>
      <c r="F90" s="19" t="n">
        <f aca="false">Cantidades_Modelo!$C$42*0.05</f>
        <v>1861.514</v>
      </c>
      <c r="G90" s="20" t="n">
        <v>9500</v>
      </c>
      <c r="H90" s="21" t="n">
        <f aca="false">F90*G90</f>
        <v>17684383</v>
      </c>
      <c r="I90" s="18" t="s">
        <v>269</v>
      </c>
      <c r="J90" s="18" t="s">
        <v>62</v>
      </c>
    </row>
    <row r="91" customFormat="false" ht="15" hidden="false" customHeight="false" outlineLevel="0" collapsed="false">
      <c r="A91" s="18" t="s">
        <v>12</v>
      </c>
      <c r="B91" s="18" t="s">
        <v>3</v>
      </c>
      <c r="C91" s="18" t="s">
        <v>270</v>
      </c>
      <c r="D91" s="18" t="s">
        <v>271</v>
      </c>
      <c r="E91" s="18" t="s">
        <v>116</v>
      </c>
      <c r="F91" s="19" t="n">
        <f aca="false">Cantidades_Modelo!$C$44*Supuestos!$C$47</f>
        <v>2263518.4</v>
      </c>
      <c r="G91" s="20" t="n">
        <v>135</v>
      </c>
      <c r="H91" s="21" t="n">
        <f aca="false">F91*G91</f>
        <v>305574984</v>
      </c>
      <c r="I91" s="18" t="s">
        <v>229</v>
      </c>
      <c r="J91" s="18" t="s">
        <v>62</v>
      </c>
    </row>
    <row r="92" customFormat="false" ht="15" hidden="false" customHeight="false" outlineLevel="0" collapsed="false">
      <c r="A92" s="18" t="s">
        <v>12</v>
      </c>
      <c r="B92" s="18" t="s">
        <v>3</v>
      </c>
      <c r="C92" s="18" t="s">
        <v>272</v>
      </c>
      <c r="D92" s="18" t="s">
        <v>273</v>
      </c>
      <c r="E92" s="18" t="s">
        <v>60</v>
      </c>
      <c r="F92" s="19" t="n">
        <f aca="false">Cantidades_Modelo!$C$44</f>
        <v>14146.99</v>
      </c>
      <c r="G92" s="20" t="n">
        <v>22000</v>
      </c>
      <c r="H92" s="21" t="n">
        <f aca="false">F92*G92</f>
        <v>311233780</v>
      </c>
      <c r="I92" s="18" t="s">
        <v>260</v>
      </c>
      <c r="J92" s="18" t="s">
        <v>62</v>
      </c>
    </row>
    <row r="93" customFormat="false" ht="15" hidden="false" customHeight="false" outlineLevel="0" collapsed="false">
      <c r="A93" s="18" t="s">
        <v>12</v>
      </c>
      <c r="B93" s="18" t="s">
        <v>3</v>
      </c>
      <c r="C93" s="18" t="s">
        <v>274</v>
      </c>
      <c r="D93" s="18" t="s">
        <v>275</v>
      </c>
      <c r="E93" s="18" t="s">
        <v>116</v>
      </c>
      <c r="F93" s="19" t="n">
        <f aca="false">Cantidades_Modelo!$C$45*Supuestos!$C$48*7850</f>
        <v>2566912.32</v>
      </c>
      <c r="G93" s="20" t="n">
        <v>140</v>
      </c>
      <c r="H93" s="21" t="n">
        <f aca="false">F93*G93</f>
        <v>359367724.8</v>
      </c>
      <c r="I93" s="18" t="s">
        <v>229</v>
      </c>
      <c r="J93" s="18" t="s">
        <v>62</v>
      </c>
    </row>
    <row r="94" customFormat="false" ht="15" hidden="false" customHeight="false" outlineLevel="0" collapsed="false">
      <c r="A94" s="18" t="s">
        <v>12</v>
      </c>
      <c r="B94" s="18" t="s">
        <v>3</v>
      </c>
      <c r="C94" s="18" t="s">
        <v>276</v>
      </c>
      <c r="D94" s="18" t="s">
        <v>277</v>
      </c>
      <c r="E94" s="18" t="s">
        <v>82</v>
      </c>
      <c r="F94" s="22" t="n">
        <v>1</v>
      </c>
      <c r="G94" s="20" t="n">
        <v>680000000</v>
      </c>
      <c r="H94" s="21" t="n">
        <f aca="false">F94*G94</f>
        <v>680000000</v>
      </c>
      <c r="I94" s="18" t="s">
        <v>278</v>
      </c>
      <c r="J94" s="18" t="s">
        <v>84</v>
      </c>
    </row>
    <row r="95" customFormat="false" ht="15" hidden="false" customHeight="false" outlineLevel="0" collapsed="false">
      <c r="A95" s="18" t="s">
        <v>12</v>
      </c>
      <c r="B95" s="18" t="s">
        <v>3</v>
      </c>
      <c r="C95" s="18" t="s">
        <v>279</v>
      </c>
      <c r="D95" s="18" t="s">
        <v>280</v>
      </c>
      <c r="E95" s="18" t="s">
        <v>65</v>
      </c>
      <c r="F95" s="19" t="n">
        <f aca="false">Cantidades_Modelo!$C$22*1.6</f>
        <v>1591.056</v>
      </c>
      <c r="G95" s="20" t="n">
        <v>9500</v>
      </c>
      <c r="H95" s="21" t="n">
        <f aca="false">F95*G95</f>
        <v>15115032</v>
      </c>
      <c r="I95" s="18" t="s">
        <v>281</v>
      </c>
      <c r="J95" s="18" t="s">
        <v>62</v>
      </c>
    </row>
    <row r="96" customFormat="false" ht="15" hidden="false" customHeight="false" outlineLevel="0" collapsed="false">
      <c r="A96" s="18" t="s">
        <v>12</v>
      </c>
      <c r="B96" s="18" t="s">
        <v>3</v>
      </c>
      <c r="C96" s="18" t="s">
        <v>282</v>
      </c>
      <c r="D96" s="18" t="s">
        <v>283</v>
      </c>
      <c r="E96" s="18" t="s">
        <v>60</v>
      </c>
      <c r="F96" s="19" t="n">
        <f aca="false">Cantidades_Modelo!$C$47</f>
        <v>3787.41</v>
      </c>
      <c r="G96" s="20" t="n">
        <v>52000</v>
      </c>
      <c r="H96" s="21" t="n">
        <f aca="false">F96*G96</f>
        <v>196945320</v>
      </c>
      <c r="I96" s="18" t="s">
        <v>284</v>
      </c>
      <c r="J96" s="18" t="s">
        <v>62</v>
      </c>
    </row>
    <row r="97" customFormat="false" ht="15" hidden="false" customHeight="false" outlineLevel="0" collapsed="false">
      <c r="A97" s="16" t="s">
        <v>13</v>
      </c>
      <c r="B97" s="17"/>
      <c r="C97" s="17"/>
      <c r="D97" s="17"/>
      <c r="E97" s="17"/>
      <c r="F97" s="17"/>
      <c r="G97" s="17"/>
      <c r="H97" s="17"/>
      <c r="I97" s="17"/>
      <c r="J97" s="17"/>
    </row>
    <row r="98" customFormat="false" ht="15" hidden="false" customHeight="false" outlineLevel="0" collapsed="false">
      <c r="A98" s="18" t="s">
        <v>13</v>
      </c>
      <c r="B98" s="18" t="s">
        <v>3</v>
      </c>
      <c r="C98" s="18" t="s">
        <v>285</v>
      </c>
      <c r="D98" s="18" t="s">
        <v>286</v>
      </c>
      <c r="E98" s="18" t="s">
        <v>60</v>
      </c>
      <c r="F98" s="19" t="n">
        <f aca="false">Cantidades_Modelo!$C$39</f>
        <v>114387.63</v>
      </c>
      <c r="G98" s="20" t="n">
        <v>13500</v>
      </c>
      <c r="H98" s="21" t="n">
        <f aca="false">F98*G98</f>
        <v>1544233005</v>
      </c>
      <c r="I98" s="18" t="s">
        <v>287</v>
      </c>
      <c r="J98" s="18" t="s">
        <v>62</v>
      </c>
    </row>
    <row r="99" customFormat="false" ht="15" hidden="false" customHeight="false" outlineLevel="0" collapsed="false">
      <c r="A99" s="18" t="s">
        <v>13</v>
      </c>
      <c r="B99" s="18" t="s">
        <v>3</v>
      </c>
      <c r="C99" s="18" t="s">
        <v>288</v>
      </c>
      <c r="D99" s="18" t="s">
        <v>289</v>
      </c>
      <c r="E99" s="18" t="s">
        <v>103</v>
      </c>
      <c r="F99" s="19" t="n">
        <f aca="false">16*16/2.4+16*3</f>
        <v>154.666666666667</v>
      </c>
      <c r="G99" s="20" t="n">
        <v>185000</v>
      </c>
      <c r="H99" s="21" t="n">
        <f aca="false">F99*G99</f>
        <v>28613333.3333333</v>
      </c>
      <c r="I99" s="18" t="s">
        <v>290</v>
      </c>
      <c r="J99" s="18" t="s">
        <v>62</v>
      </c>
    </row>
    <row r="100" customFormat="false" ht="15" hidden="false" customHeight="false" outlineLevel="0" collapsed="false">
      <c r="A100" s="18" t="s">
        <v>13</v>
      </c>
      <c r="B100" s="18" t="s">
        <v>3</v>
      </c>
      <c r="C100" s="18" t="s">
        <v>291</v>
      </c>
      <c r="D100" s="18" t="s">
        <v>292</v>
      </c>
      <c r="E100" s="18" t="s">
        <v>60</v>
      </c>
      <c r="F100" s="19" t="n">
        <f aca="false">Cantidades_Modelo!$C$48</f>
        <v>3049.53</v>
      </c>
      <c r="G100" s="20" t="n">
        <v>9800</v>
      </c>
      <c r="H100" s="21" t="n">
        <f aca="false">F100*G100</f>
        <v>29885394</v>
      </c>
      <c r="I100" s="18" t="s">
        <v>293</v>
      </c>
      <c r="J100" s="18" t="s">
        <v>62</v>
      </c>
    </row>
    <row r="101" customFormat="false" ht="15" hidden="false" customHeight="false" outlineLevel="0" collapsed="false">
      <c r="A101" s="18" t="s">
        <v>13</v>
      </c>
      <c r="B101" s="18" t="s">
        <v>3</v>
      </c>
      <c r="C101" s="18" t="s">
        <v>294</v>
      </c>
      <c r="D101" s="18" t="s">
        <v>295</v>
      </c>
      <c r="E101" s="18" t="s">
        <v>60</v>
      </c>
      <c r="F101" s="19" t="n">
        <f aca="false">Cantidades_Modelo!$C$49</f>
        <v>7486.78</v>
      </c>
      <c r="G101" s="20" t="n">
        <v>16500</v>
      </c>
      <c r="H101" s="21" t="n">
        <f aca="false">F101*G101</f>
        <v>123531870</v>
      </c>
      <c r="I101" s="18" t="s">
        <v>296</v>
      </c>
      <c r="J101" s="18" t="s">
        <v>62</v>
      </c>
    </row>
    <row r="102" customFormat="false" ht="15" hidden="false" customHeight="false" outlineLevel="0" collapsed="false">
      <c r="A102" s="18" t="s">
        <v>13</v>
      </c>
      <c r="B102" s="18" t="s">
        <v>4</v>
      </c>
      <c r="C102" s="18" t="s">
        <v>297</v>
      </c>
      <c r="D102" s="18" t="s">
        <v>298</v>
      </c>
      <c r="E102" s="18" t="s">
        <v>60</v>
      </c>
      <c r="F102" s="19" t="n">
        <f aca="false">Cantidades_Modelo!$C$29+Cantidades_Modelo!$C$28*(1-Supuestos!$C$56)</f>
        <v>78788.215</v>
      </c>
      <c r="G102" s="20" t="n">
        <v>12500</v>
      </c>
      <c r="H102" s="21" t="n">
        <f aca="false">F102*G102</f>
        <v>984852687.5</v>
      </c>
      <c r="I102" s="18" t="s">
        <v>299</v>
      </c>
      <c r="J102" s="18" t="s">
        <v>62</v>
      </c>
    </row>
    <row r="103" customFormat="false" ht="15" hidden="false" customHeight="false" outlineLevel="0" collapsed="false">
      <c r="A103" s="18" t="s">
        <v>13</v>
      </c>
      <c r="B103" s="18" t="s">
        <v>4</v>
      </c>
      <c r="C103" s="18" t="s">
        <v>300</v>
      </c>
      <c r="D103" s="18" t="s">
        <v>301</v>
      </c>
      <c r="E103" s="18" t="s">
        <v>60</v>
      </c>
      <c r="F103" s="19" t="n">
        <f aca="false">Cantidades_Modelo!$C$28*Supuestos!$C$56</f>
        <v>29798.125</v>
      </c>
      <c r="G103" s="20" t="n">
        <v>19500</v>
      </c>
      <c r="H103" s="21" t="n">
        <f aca="false">F103*G103</f>
        <v>581063437.5</v>
      </c>
      <c r="I103" s="18" t="s">
        <v>302</v>
      </c>
      <c r="J103" s="18" t="s">
        <v>62</v>
      </c>
    </row>
    <row r="104" customFormat="false" ht="15" hidden="false" customHeight="false" outlineLevel="0" collapsed="false">
      <c r="A104" s="18" t="s">
        <v>13</v>
      </c>
      <c r="B104" s="18" t="s">
        <v>4</v>
      </c>
      <c r="C104" s="18" t="s">
        <v>303</v>
      </c>
      <c r="D104" s="18" t="s">
        <v>304</v>
      </c>
      <c r="E104" s="18" t="s">
        <v>60</v>
      </c>
      <c r="F104" s="19" t="n">
        <f aca="false">Cantidades_Modelo!$C$30</f>
        <v>108586.03</v>
      </c>
      <c r="G104" s="20" t="n">
        <v>9800</v>
      </c>
      <c r="H104" s="21" t="n">
        <f aca="false">F104*G104</f>
        <v>1064143094</v>
      </c>
      <c r="I104" s="18" t="s">
        <v>305</v>
      </c>
      <c r="J104" s="18" t="s">
        <v>62</v>
      </c>
    </row>
    <row r="105" customFormat="false" ht="15" hidden="false" customHeight="false" outlineLevel="0" collapsed="false">
      <c r="A105" s="18" t="s">
        <v>13</v>
      </c>
      <c r="B105" s="18" t="s">
        <v>4</v>
      </c>
      <c r="C105" s="18" t="s">
        <v>306</v>
      </c>
      <c r="D105" s="18" t="s">
        <v>307</v>
      </c>
      <c r="E105" s="18" t="s">
        <v>60</v>
      </c>
      <c r="F105" s="19" t="n">
        <f aca="false">Cantidades_Modelo!$C$32</f>
        <v>23040</v>
      </c>
      <c r="G105" s="20" t="n">
        <v>12500</v>
      </c>
      <c r="H105" s="21" t="n">
        <f aca="false">F105*G105</f>
        <v>288000000</v>
      </c>
      <c r="I105" s="18" t="s">
        <v>299</v>
      </c>
      <c r="J105" s="18" t="s">
        <v>62</v>
      </c>
    </row>
    <row r="106" customFormat="false" ht="15" hidden="false" customHeight="false" outlineLevel="0" collapsed="false">
      <c r="A106" s="18" t="s">
        <v>13</v>
      </c>
      <c r="B106" s="18" t="s">
        <v>4</v>
      </c>
      <c r="C106" s="18" t="s">
        <v>308</v>
      </c>
      <c r="D106" s="18" t="s">
        <v>309</v>
      </c>
      <c r="E106" s="18" t="s">
        <v>60</v>
      </c>
      <c r="F106" s="19" t="n">
        <f aca="false">Cantidades_Modelo!$C$33</f>
        <v>16128</v>
      </c>
      <c r="G106" s="20" t="n">
        <v>5200</v>
      </c>
      <c r="H106" s="21" t="n">
        <f aca="false">F106*G106</f>
        <v>83865600</v>
      </c>
      <c r="I106" s="18" t="s">
        <v>310</v>
      </c>
      <c r="J106" s="18" t="s">
        <v>62</v>
      </c>
    </row>
    <row r="107" customFormat="false" ht="15" hidden="false" customHeight="false" outlineLevel="0" collapsed="false">
      <c r="A107" s="18" t="s">
        <v>13</v>
      </c>
      <c r="B107" s="18" t="s">
        <v>4</v>
      </c>
      <c r="C107" s="18" t="s">
        <v>311</v>
      </c>
      <c r="D107" s="18" t="s">
        <v>312</v>
      </c>
      <c r="E107" s="18" t="s">
        <v>60</v>
      </c>
      <c r="F107" s="19" t="n">
        <f aca="false">8*(2*24*32+2*20*32*2)</f>
        <v>32768</v>
      </c>
      <c r="G107" s="20" t="n">
        <v>4800</v>
      </c>
      <c r="H107" s="21" t="n">
        <f aca="false">F107*G107</f>
        <v>157286400</v>
      </c>
      <c r="I107" s="18" t="s">
        <v>313</v>
      </c>
      <c r="J107" s="18" t="s">
        <v>62</v>
      </c>
    </row>
    <row r="108" customFormat="false" ht="15" hidden="false" customHeight="false" outlineLevel="0" collapsed="false">
      <c r="A108" s="18" t="s">
        <v>13</v>
      </c>
      <c r="B108" s="18" t="s">
        <v>4</v>
      </c>
      <c r="C108" s="18" t="s">
        <v>314</v>
      </c>
      <c r="D108" s="18" t="s">
        <v>315</v>
      </c>
      <c r="E108" s="18" t="s">
        <v>65</v>
      </c>
      <c r="F108" s="19" t="n">
        <f aca="false">Cantidades_Modelo!$C$35</f>
        <v>21717.21</v>
      </c>
      <c r="G108" s="20" t="n">
        <v>6400</v>
      </c>
      <c r="H108" s="21" t="n">
        <f aca="false">F108*G108</f>
        <v>138990144</v>
      </c>
      <c r="I108" s="18" t="s">
        <v>316</v>
      </c>
      <c r="J108" s="18" t="s">
        <v>62</v>
      </c>
    </row>
    <row r="109" customFormat="false" ht="15" hidden="false" customHeight="false" outlineLevel="0" collapsed="false">
      <c r="A109" s="18" t="s">
        <v>13</v>
      </c>
      <c r="B109" s="18" t="s">
        <v>4</v>
      </c>
      <c r="C109" s="18" t="s">
        <v>317</v>
      </c>
      <c r="D109" s="18" t="s">
        <v>318</v>
      </c>
      <c r="E109" s="18" t="s">
        <v>65</v>
      </c>
      <c r="F109" s="19" t="n">
        <f aca="false">Cantidades_Modelo!$C$36+16*30*2</f>
        <v>6202.42</v>
      </c>
      <c r="G109" s="20" t="n">
        <v>7200</v>
      </c>
      <c r="H109" s="21" t="n">
        <f aca="false">F109*G109</f>
        <v>44657424</v>
      </c>
      <c r="I109" s="18" t="s">
        <v>316</v>
      </c>
      <c r="J109" s="18" t="s">
        <v>62</v>
      </c>
    </row>
    <row r="110" customFormat="false" ht="15" hidden="false" customHeight="false" outlineLevel="0" collapsed="false">
      <c r="A110" s="18" t="s">
        <v>13</v>
      </c>
      <c r="B110" s="18" t="s">
        <v>3</v>
      </c>
      <c r="C110" s="18" t="s">
        <v>319</v>
      </c>
      <c r="D110" s="18" t="s">
        <v>320</v>
      </c>
      <c r="E110" s="18" t="s">
        <v>65</v>
      </c>
      <c r="F110" s="19" t="n">
        <f aca="false">1400+Cantidades_Modelo!$C$22*3</f>
        <v>4383.23</v>
      </c>
      <c r="G110" s="20" t="n">
        <v>5200</v>
      </c>
      <c r="H110" s="21" t="n">
        <f aca="false">F110*G110</f>
        <v>22792796</v>
      </c>
      <c r="I110" s="18" t="s">
        <v>316</v>
      </c>
      <c r="J110" s="18" t="s">
        <v>62</v>
      </c>
    </row>
    <row r="111" customFormat="false" ht="15" hidden="false" customHeight="false" outlineLevel="0" collapsed="false">
      <c r="A111" s="16" t="s">
        <v>14</v>
      </c>
      <c r="B111" s="17"/>
      <c r="C111" s="17"/>
      <c r="D111" s="17"/>
      <c r="E111" s="17"/>
      <c r="F111" s="17"/>
      <c r="G111" s="17"/>
      <c r="H111" s="17"/>
      <c r="I111" s="17"/>
      <c r="J111" s="17"/>
    </row>
    <row r="112" customFormat="false" ht="15" hidden="false" customHeight="false" outlineLevel="0" collapsed="false">
      <c r="A112" s="18" t="s">
        <v>14</v>
      </c>
      <c r="B112" s="18" t="s">
        <v>3</v>
      </c>
      <c r="C112" s="18" t="s">
        <v>321</v>
      </c>
      <c r="D112" s="18" t="s">
        <v>322</v>
      </c>
      <c r="E112" s="18" t="s">
        <v>60</v>
      </c>
      <c r="F112" s="19" t="n">
        <f aca="false">Cantidades_Modelo!$C$11</f>
        <v>100157.61</v>
      </c>
      <c r="G112" s="20" t="n">
        <v>380</v>
      </c>
      <c r="H112" s="21" t="n">
        <f aca="false">F112*G112</f>
        <v>38059891.8</v>
      </c>
      <c r="I112" s="18" t="s">
        <v>323</v>
      </c>
      <c r="J112" s="18" t="s">
        <v>62</v>
      </c>
    </row>
    <row r="113" customFormat="false" ht="15" hidden="false" customHeight="false" outlineLevel="0" collapsed="false">
      <c r="A113" s="18" t="s">
        <v>14</v>
      </c>
      <c r="B113" s="18" t="s">
        <v>3</v>
      </c>
      <c r="C113" s="18" t="s">
        <v>324</v>
      </c>
      <c r="D113" s="18" t="s">
        <v>325</v>
      </c>
      <c r="E113" s="18" t="s">
        <v>103</v>
      </c>
      <c r="F113" s="19" t="n">
        <f aca="false">Cantidades_Modelo!$C$54</f>
        <v>98247</v>
      </c>
      <c r="G113" s="20" t="n">
        <v>3200</v>
      </c>
      <c r="H113" s="21" t="n">
        <f aca="false">F113*G113</f>
        <v>314390400</v>
      </c>
      <c r="I113" s="18" t="s">
        <v>326</v>
      </c>
      <c r="J113" s="18" t="s">
        <v>62</v>
      </c>
    </row>
    <row r="114" customFormat="false" ht="15" hidden="false" customHeight="false" outlineLevel="0" collapsed="false">
      <c r="A114" s="18" t="s">
        <v>14</v>
      </c>
      <c r="B114" s="18" t="s">
        <v>3</v>
      </c>
      <c r="C114" s="18" t="s">
        <v>327</v>
      </c>
      <c r="D114" s="18" t="s">
        <v>328</v>
      </c>
      <c r="E114" s="18" t="s">
        <v>103</v>
      </c>
      <c r="F114" s="19" t="n">
        <f aca="false">Cantidades_Modelo!$C$55</f>
        <v>1021</v>
      </c>
      <c r="G114" s="20" t="n">
        <v>9500</v>
      </c>
      <c r="H114" s="21" t="n">
        <f aca="false">F114*G114</f>
        <v>9699500</v>
      </c>
      <c r="I114" s="18" t="s">
        <v>329</v>
      </c>
      <c r="J114" s="18" t="s">
        <v>62</v>
      </c>
    </row>
    <row r="115" customFormat="false" ht="15" hidden="false" customHeight="false" outlineLevel="0" collapsed="false">
      <c r="A115" s="18" t="s">
        <v>14</v>
      </c>
      <c r="B115" s="18" t="s">
        <v>3</v>
      </c>
      <c r="C115" s="18" t="s">
        <v>330</v>
      </c>
      <c r="D115" s="18" t="s">
        <v>331</v>
      </c>
      <c r="E115" s="18" t="s">
        <v>60</v>
      </c>
      <c r="F115" s="19" t="n">
        <f aca="false">Cantidades_Modelo!$C$12+Cantidades_Modelo!$C$13+Cantidades_Modelo!$C$14+Cantidades_Modelo!$C$15</f>
        <v>124499.63</v>
      </c>
      <c r="G115" s="20" t="n">
        <v>1650</v>
      </c>
      <c r="H115" s="21" t="n">
        <f aca="false">F115*G115</f>
        <v>205424389.5</v>
      </c>
      <c r="I115" s="18" t="s">
        <v>332</v>
      </c>
      <c r="J115" s="18" t="s">
        <v>62</v>
      </c>
    </row>
    <row r="116" customFormat="false" ht="15" hidden="false" customHeight="false" outlineLevel="0" collapsed="false">
      <c r="A116" s="18" t="s">
        <v>14</v>
      </c>
      <c r="B116" s="18" t="s">
        <v>3</v>
      </c>
      <c r="C116" s="18" t="s">
        <v>333</v>
      </c>
      <c r="D116" s="18" t="s">
        <v>334</v>
      </c>
      <c r="E116" s="18" t="s">
        <v>60</v>
      </c>
      <c r="F116" s="19" t="n">
        <f aca="false">(Cantidades_Modelo!$C$13+Cantidades_Modelo!$C$14+Cantidades_Modelo!$C$15)+Cantidades_Modelo!$C$9+Cantidades_Modelo!$C$10</f>
        <v>123748.28</v>
      </c>
      <c r="G116" s="20" t="n">
        <v>1350</v>
      </c>
      <c r="H116" s="21" t="n">
        <f aca="false">F116*G116</f>
        <v>167060178</v>
      </c>
      <c r="I116" s="18" t="s">
        <v>335</v>
      </c>
      <c r="J116" s="18" t="s">
        <v>62</v>
      </c>
    </row>
    <row r="117" customFormat="false" ht="15" hidden="false" customHeight="false" outlineLevel="0" collapsed="false">
      <c r="A117" s="18" t="s">
        <v>14</v>
      </c>
      <c r="B117" s="18" t="s">
        <v>3</v>
      </c>
      <c r="C117" s="18" t="s">
        <v>336</v>
      </c>
      <c r="D117" s="18" t="s">
        <v>337</v>
      </c>
      <c r="E117" s="18" t="s">
        <v>103</v>
      </c>
      <c r="F117" s="19" t="n">
        <f aca="false">Cantidades_Modelo!$C$59</f>
        <v>64</v>
      </c>
      <c r="G117" s="20" t="n">
        <v>3600000</v>
      </c>
      <c r="H117" s="21" t="n">
        <f aca="false">F117*G117</f>
        <v>230400000</v>
      </c>
      <c r="I117" s="18" t="s">
        <v>338</v>
      </c>
      <c r="J117" s="18" t="s">
        <v>62</v>
      </c>
    </row>
    <row r="118" customFormat="false" ht="15" hidden="false" customHeight="false" outlineLevel="0" collapsed="false">
      <c r="A118" s="18" t="s">
        <v>14</v>
      </c>
      <c r="B118" s="18" t="s">
        <v>3</v>
      </c>
      <c r="C118" s="18" t="s">
        <v>339</v>
      </c>
      <c r="D118" s="18" t="s">
        <v>340</v>
      </c>
      <c r="E118" s="18" t="s">
        <v>103</v>
      </c>
      <c r="F118" s="19" t="n">
        <f aca="false">Cantidades_Modelo!$C$60</f>
        <v>24</v>
      </c>
      <c r="G118" s="20" t="n">
        <v>3100000</v>
      </c>
      <c r="H118" s="21" t="n">
        <f aca="false">F118*G118</f>
        <v>74400000</v>
      </c>
      <c r="I118" s="18" t="s">
        <v>341</v>
      </c>
      <c r="J118" s="18" t="s">
        <v>62</v>
      </c>
    </row>
    <row r="119" customFormat="false" ht="15" hidden="false" customHeight="false" outlineLevel="0" collapsed="false">
      <c r="A119" s="18" t="s">
        <v>14</v>
      </c>
      <c r="B119" s="18" t="s">
        <v>3</v>
      </c>
      <c r="C119" s="18" t="s">
        <v>342</v>
      </c>
      <c r="D119" s="18" t="s">
        <v>343</v>
      </c>
      <c r="E119" s="18" t="s">
        <v>103</v>
      </c>
      <c r="F119" s="19" t="n">
        <f aca="false">Cantidades_Modelo!$C$58</f>
        <v>152</v>
      </c>
      <c r="G119" s="20" t="n">
        <v>650000</v>
      </c>
      <c r="H119" s="21" t="n">
        <f aca="false">F119*G119</f>
        <v>98800000</v>
      </c>
      <c r="I119" s="18" t="s">
        <v>344</v>
      </c>
      <c r="J119" s="18" t="s">
        <v>62</v>
      </c>
    </row>
    <row r="120" customFormat="false" ht="15" hidden="false" customHeight="false" outlineLevel="0" collapsed="false">
      <c r="A120" s="18" t="s">
        <v>14</v>
      </c>
      <c r="B120" s="18" t="s">
        <v>3</v>
      </c>
      <c r="C120" s="18" t="s">
        <v>345</v>
      </c>
      <c r="D120" s="18" t="s">
        <v>346</v>
      </c>
      <c r="E120" s="18" t="s">
        <v>103</v>
      </c>
      <c r="F120" s="19" t="n">
        <f aca="false">Cantidades_Modelo!$C$61+Cantidades_Modelo!$C$62+Cantidades_Modelo!$C$63</f>
        <v>24</v>
      </c>
      <c r="G120" s="20" t="n">
        <v>2600000</v>
      </c>
      <c r="H120" s="21" t="n">
        <f aca="false">F120*G120</f>
        <v>62400000</v>
      </c>
      <c r="I120" s="18" t="s">
        <v>347</v>
      </c>
      <c r="J120" s="18" t="s">
        <v>62</v>
      </c>
    </row>
    <row r="121" customFormat="false" ht="15" hidden="false" customHeight="false" outlineLevel="0" collapsed="false">
      <c r="A121" s="18" t="s">
        <v>14</v>
      </c>
      <c r="B121" s="18" t="s">
        <v>3</v>
      </c>
      <c r="C121" s="18" t="s">
        <v>348</v>
      </c>
      <c r="D121" s="18" t="s">
        <v>349</v>
      </c>
      <c r="E121" s="18" t="s">
        <v>60</v>
      </c>
      <c r="F121" s="22" t="n">
        <v>4600</v>
      </c>
      <c r="G121" s="20" t="n">
        <v>42000</v>
      </c>
      <c r="H121" s="21" t="n">
        <f aca="false">F121*G121</f>
        <v>193200000</v>
      </c>
      <c r="I121" s="18" t="s">
        <v>350</v>
      </c>
      <c r="J121" s="18" t="s">
        <v>84</v>
      </c>
    </row>
    <row r="122" customFormat="false" ht="15" hidden="false" customHeight="false" outlineLevel="0" collapsed="false">
      <c r="A122" s="18" t="s">
        <v>14</v>
      </c>
      <c r="B122" s="18" t="s">
        <v>3</v>
      </c>
      <c r="C122" s="18" t="s">
        <v>351</v>
      </c>
      <c r="D122" s="18" t="s">
        <v>352</v>
      </c>
      <c r="E122" s="18" t="s">
        <v>60</v>
      </c>
      <c r="F122" s="19" t="n">
        <f aca="false">Cantidades_Modelo!$C$22*0.8*6</f>
        <v>4773.168</v>
      </c>
      <c r="G122" s="20" t="n">
        <v>26000</v>
      </c>
      <c r="H122" s="21" t="n">
        <f aca="false">F122*G122</f>
        <v>124102368</v>
      </c>
      <c r="I122" s="18" t="s">
        <v>353</v>
      </c>
      <c r="J122" s="18" t="s">
        <v>62</v>
      </c>
    </row>
    <row r="123" customFormat="false" ht="15" hidden="false" customHeight="false" outlineLevel="0" collapsed="false">
      <c r="A123" s="18" t="s">
        <v>14</v>
      </c>
      <c r="B123" s="18" t="s">
        <v>3</v>
      </c>
      <c r="C123" s="18" t="s">
        <v>354</v>
      </c>
      <c r="D123" s="18" t="s">
        <v>355</v>
      </c>
      <c r="E123" s="18" t="s">
        <v>82</v>
      </c>
      <c r="F123" s="22" t="n">
        <v>1</v>
      </c>
      <c r="G123" s="20" t="n">
        <v>85000000</v>
      </c>
      <c r="H123" s="21" t="n">
        <f aca="false">F123*G123</f>
        <v>85000000</v>
      </c>
      <c r="I123" s="18" t="s">
        <v>356</v>
      </c>
      <c r="J123" s="18" t="s">
        <v>84</v>
      </c>
    </row>
    <row r="124" customFormat="false" ht="15" hidden="false" customHeight="false" outlineLevel="0" collapsed="false">
      <c r="A124" s="18" t="s">
        <v>14</v>
      </c>
      <c r="B124" s="18" t="s">
        <v>3</v>
      </c>
      <c r="C124" s="18" t="s">
        <v>357</v>
      </c>
      <c r="D124" s="18" t="s">
        <v>358</v>
      </c>
      <c r="E124" s="18" t="s">
        <v>103</v>
      </c>
      <c r="F124" s="19" t="n">
        <f aca="false">16*6+8*6</f>
        <v>144</v>
      </c>
      <c r="G124" s="20" t="n">
        <v>38000</v>
      </c>
      <c r="H124" s="21" t="n">
        <f aca="false">F124*G124</f>
        <v>5472000</v>
      </c>
      <c r="I124" s="18" t="s">
        <v>359</v>
      </c>
      <c r="J124" s="18" t="s">
        <v>62</v>
      </c>
    </row>
    <row r="125" customFormat="false" ht="15" hidden="false" customHeight="false" outlineLevel="0" collapsed="false">
      <c r="A125" s="18" t="s">
        <v>14</v>
      </c>
      <c r="B125" s="18" t="s">
        <v>4</v>
      </c>
      <c r="C125" s="18" t="s">
        <v>360</v>
      </c>
      <c r="D125" s="18" t="s">
        <v>361</v>
      </c>
      <c r="E125" s="18" t="s">
        <v>60</v>
      </c>
      <c r="F125" s="19" t="n">
        <f aca="false">Cantidades_Modelo!$C$26*0.35</f>
        <v>135129.421</v>
      </c>
      <c r="G125" s="20" t="n">
        <v>1250</v>
      </c>
      <c r="H125" s="21" t="n">
        <f aca="false">F125*G125</f>
        <v>168911776.25</v>
      </c>
      <c r="I125" s="18" t="s">
        <v>362</v>
      </c>
      <c r="J125" s="18" t="s">
        <v>62</v>
      </c>
    </row>
    <row r="126" customFormat="false" ht="15" hidden="false" customHeight="false" outlineLevel="0" collapsed="false">
      <c r="A126" s="18" t="s">
        <v>14</v>
      </c>
      <c r="B126" s="18" t="s">
        <v>4</v>
      </c>
      <c r="C126" s="18" t="s">
        <v>363</v>
      </c>
      <c r="D126" s="18" t="s">
        <v>364</v>
      </c>
      <c r="E126" s="18" t="s">
        <v>60</v>
      </c>
      <c r="F126" s="19" t="n">
        <f aca="false">Cantidades_Modelo!$C$26*0.65</f>
        <v>250954.639</v>
      </c>
      <c r="G126" s="20" t="n">
        <v>2900</v>
      </c>
      <c r="H126" s="21" t="n">
        <f aca="false">F126*G126</f>
        <v>727768453.1</v>
      </c>
      <c r="I126" s="18" t="s">
        <v>365</v>
      </c>
      <c r="J126" s="18" t="s">
        <v>62</v>
      </c>
    </row>
    <row r="127" customFormat="false" ht="15" hidden="false" customHeight="false" outlineLevel="0" collapsed="false">
      <c r="A127" s="18" t="s">
        <v>14</v>
      </c>
      <c r="B127" s="18" t="s">
        <v>4</v>
      </c>
      <c r="C127" s="18" t="s">
        <v>366</v>
      </c>
      <c r="D127" s="18" t="s">
        <v>367</v>
      </c>
      <c r="E127" s="18" t="s">
        <v>60</v>
      </c>
      <c r="F127" s="19" t="n">
        <f aca="false">Cantidades_Modelo!$C$31</f>
        <v>119234.13</v>
      </c>
      <c r="G127" s="20" t="n">
        <v>4200</v>
      </c>
      <c r="H127" s="21" t="n">
        <f aca="false">F127*G127</f>
        <v>500783346</v>
      </c>
      <c r="I127" s="18" t="s">
        <v>368</v>
      </c>
      <c r="J127" s="18" t="s">
        <v>62</v>
      </c>
    </row>
    <row r="128" customFormat="false" ht="15" hidden="false" customHeight="false" outlineLevel="0" collapsed="false">
      <c r="A128" s="18" t="s">
        <v>14</v>
      </c>
      <c r="B128" s="18" t="s">
        <v>4</v>
      </c>
      <c r="C128" s="18" t="s">
        <v>369</v>
      </c>
      <c r="D128" s="18" t="s">
        <v>370</v>
      </c>
      <c r="E128" s="18" t="s">
        <v>60</v>
      </c>
      <c r="F128" s="19" t="n">
        <f aca="false">Cantidades_Modelo!$C$26*0.35*1.8</f>
        <v>243232.9578</v>
      </c>
      <c r="G128" s="20" t="n">
        <v>980</v>
      </c>
      <c r="H128" s="21" t="n">
        <f aca="false">F128*G128</f>
        <v>238368298.644</v>
      </c>
      <c r="I128" s="18" t="s">
        <v>371</v>
      </c>
      <c r="J128" s="18" t="s">
        <v>62</v>
      </c>
    </row>
    <row r="129" customFormat="false" ht="15" hidden="false" customHeight="false" outlineLevel="0" collapsed="false">
      <c r="A129" s="18" t="s">
        <v>14</v>
      </c>
      <c r="B129" s="18" t="s">
        <v>4</v>
      </c>
      <c r="C129" s="18" t="s">
        <v>372</v>
      </c>
      <c r="D129" s="18" t="s">
        <v>373</v>
      </c>
      <c r="E129" s="18" t="s">
        <v>103</v>
      </c>
      <c r="F129" s="19" t="n">
        <f aca="false">Cantidades_Modelo!$C$68/2*10</f>
        <v>210</v>
      </c>
      <c r="G129" s="20" t="n">
        <v>2200000</v>
      </c>
      <c r="H129" s="21" t="n">
        <f aca="false">F129*G129</f>
        <v>462000000</v>
      </c>
      <c r="I129" s="18" t="s">
        <v>374</v>
      </c>
      <c r="J129" s="18" t="s">
        <v>62</v>
      </c>
    </row>
    <row r="130" customFormat="false" ht="15" hidden="false" customHeight="false" outlineLevel="0" collapsed="false">
      <c r="A130" s="18" t="s">
        <v>14</v>
      </c>
      <c r="B130" s="18" t="s">
        <v>4</v>
      </c>
      <c r="C130" s="18" t="s">
        <v>375</v>
      </c>
      <c r="D130" s="18" t="s">
        <v>376</v>
      </c>
      <c r="E130" s="18" t="s">
        <v>103</v>
      </c>
      <c r="F130" s="19" t="n">
        <f aca="false">Cantidades_Modelo!$C$68*10*2</f>
        <v>840</v>
      </c>
      <c r="G130" s="20" t="n">
        <v>38000</v>
      </c>
      <c r="H130" s="21" t="n">
        <f aca="false">F130*G130</f>
        <v>31920000</v>
      </c>
      <c r="I130" s="18" t="s">
        <v>359</v>
      </c>
      <c r="J130" s="18" t="s">
        <v>62</v>
      </c>
    </row>
    <row r="131" customFormat="false" ht="15" hidden="false" customHeight="false" outlineLevel="0" collapsed="false">
      <c r="A131" s="18" t="s">
        <v>14</v>
      </c>
      <c r="B131" s="18" t="s">
        <v>4</v>
      </c>
      <c r="C131" s="18" t="s">
        <v>377</v>
      </c>
      <c r="D131" s="18" t="s">
        <v>378</v>
      </c>
      <c r="E131" s="18" t="s">
        <v>60</v>
      </c>
      <c r="F131" s="19" t="n">
        <f aca="false">Cantidades_Modelo!$C$34</f>
        <v>39090.97</v>
      </c>
      <c r="G131" s="20" t="n">
        <v>2600</v>
      </c>
      <c r="H131" s="21" t="n">
        <f aca="false">F131*G131</f>
        <v>101636522</v>
      </c>
      <c r="I131" s="18" t="s">
        <v>379</v>
      </c>
      <c r="J131" s="18" t="s">
        <v>62</v>
      </c>
    </row>
    <row r="132" customFormat="false" ht="15" hidden="false" customHeight="false" outlineLevel="0" collapsed="false">
      <c r="A132" s="18" t="s">
        <v>14</v>
      </c>
      <c r="B132" s="18" t="s">
        <v>5</v>
      </c>
      <c r="C132" s="18" t="s">
        <v>380</v>
      </c>
      <c r="D132" s="18" t="s">
        <v>381</v>
      </c>
      <c r="E132" s="18" t="s">
        <v>82</v>
      </c>
      <c r="F132" s="22" t="n">
        <v>1</v>
      </c>
      <c r="G132" s="20" t="n">
        <v>160000000</v>
      </c>
      <c r="H132" s="21" t="n">
        <f aca="false">F132*G132</f>
        <v>160000000</v>
      </c>
      <c r="I132" s="18" t="s">
        <v>382</v>
      </c>
      <c r="J132" s="18" t="s">
        <v>84</v>
      </c>
    </row>
    <row r="133" customFormat="false" ht="15" hidden="false" customHeight="false" outlineLevel="0" collapsed="false">
      <c r="A133" s="18" t="s">
        <v>14</v>
      </c>
      <c r="B133" s="18" t="s">
        <v>5</v>
      </c>
      <c r="C133" s="18" t="s">
        <v>383</v>
      </c>
      <c r="D133" s="18" t="s">
        <v>384</v>
      </c>
      <c r="E133" s="18" t="s">
        <v>60</v>
      </c>
      <c r="F133" s="19" t="n">
        <f aca="false">(Cantidades_Modelo!$C$20+Cantidades_Modelo!$C$16)*0.8</f>
        <v>318028.432</v>
      </c>
      <c r="G133" s="20" t="n">
        <v>120</v>
      </c>
      <c r="H133" s="21" t="n">
        <f aca="false">F133*G133</f>
        <v>38163411.84</v>
      </c>
      <c r="I133" s="18" t="s">
        <v>385</v>
      </c>
      <c r="J133" s="18" t="s">
        <v>62</v>
      </c>
    </row>
    <row r="134" customFormat="false" ht="15" hidden="false" customHeight="false" outlineLevel="0" collapsed="false">
      <c r="A134" s="18" t="s">
        <v>14</v>
      </c>
      <c r="B134" s="18" t="s">
        <v>5</v>
      </c>
      <c r="C134" s="18" t="s">
        <v>386</v>
      </c>
      <c r="D134" s="18" t="s">
        <v>387</v>
      </c>
      <c r="E134" s="18" t="s">
        <v>103</v>
      </c>
      <c r="F134" s="22" t="n">
        <v>24</v>
      </c>
      <c r="G134" s="20" t="n">
        <v>6500000</v>
      </c>
      <c r="H134" s="21" t="n">
        <f aca="false">F134*G134</f>
        <v>156000000</v>
      </c>
      <c r="I134" s="18" t="s">
        <v>388</v>
      </c>
      <c r="J134" s="18" t="s">
        <v>84</v>
      </c>
    </row>
    <row r="135" customFormat="false" ht="15" hidden="false" customHeight="false" outlineLevel="0" collapsed="false">
      <c r="A135" s="18" t="s">
        <v>14</v>
      </c>
      <c r="B135" s="18" t="s">
        <v>5</v>
      </c>
      <c r="C135" s="18" t="s">
        <v>389</v>
      </c>
      <c r="D135" s="18" t="s">
        <v>390</v>
      </c>
      <c r="E135" s="18" t="s">
        <v>82</v>
      </c>
      <c r="F135" s="22" t="n">
        <v>1</v>
      </c>
      <c r="G135" s="20" t="n">
        <v>36000000</v>
      </c>
      <c r="H135" s="21" t="n">
        <f aca="false">F135*G135</f>
        <v>36000000</v>
      </c>
      <c r="I135" s="18" t="s">
        <v>391</v>
      </c>
      <c r="J135" s="18" t="s">
        <v>84</v>
      </c>
    </row>
    <row r="136" customFormat="false" ht="15" hidden="false" customHeight="false" outlineLevel="0" collapsed="false">
      <c r="A136" s="18" t="s">
        <v>14</v>
      </c>
      <c r="B136" s="18" t="s">
        <v>5</v>
      </c>
      <c r="C136" s="18" t="s">
        <v>392</v>
      </c>
      <c r="D136" s="18" t="s">
        <v>393</v>
      </c>
      <c r="E136" s="18" t="s">
        <v>60</v>
      </c>
      <c r="F136" s="19" t="n">
        <f aca="false">Cantidades_Modelo!$C$17+Cantidades_Modelo!$C$26+Cantidades_Modelo!$C$20</f>
        <v>908119.22</v>
      </c>
      <c r="G136" s="20" t="n">
        <v>45</v>
      </c>
      <c r="H136" s="21" t="n">
        <f aca="false">F136*G136</f>
        <v>40865364.9</v>
      </c>
      <c r="I136" s="18" t="s">
        <v>394</v>
      </c>
      <c r="J136" s="18" t="s">
        <v>62</v>
      </c>
    </row>
    <row r="137" customFormat="false" ht="15" hidden="false" customHeight="false" outlineLevel="0" collapsed="false">
      <c r="A137" s="16" t="s">
        <v>15</v>
      </c>
      <c r="B137" s="17"/>
      <c r="C137" s="17"/>
      <c r="D137" s="17"/>
      <c r="E137" s="17"/>
      <c r="F137" s="17"/>
      <c r="G137" s="17"/>
      <c r="H137" s="17"/>
      <c r="I137" s="17"/>
      <c r="J137" s="17"/>
    </row>
    <row r="138" customFormat="false" ht="15" hidden="false" customHeight="false" outlineLevel="0" collapsed="false">
      <c r="A138" s="18" t="s">
        <v>15</v>
      </c>
      <c r="B138" s="18" t="s">
        <v>5</v>
      </c>
      <c r="C138" s="18" t="s">
        <v>395</v>
      </c>
      <c r="D138" s="18" t="s">
        <v>396</v>
      </c>
      <c r="E138" s="18" t="s">
        <v>82</v>
      </c>
      <c r="F138" s="22" t="n">
        <v>1</v>
      </c>
      <c r="G138" s="20" t="n">
        <v>520000000</v>
      </c>
      <c r="H138" s="21" t="n">
        <f aca="false">F138*G138</f>
        <v>520000000</v>
      </c>
      <c r="I138" s="18" t="s">
        <v>397</v>
      </c>
      <c r="J138" s="18" t="s">
        <v>84</v>
      </c>
    </row>
    <row r="139" customFormat="false" ht="15" hidden="false" customHeight="false" outlineLevel="0" collapsed="false">
      <c r="A139" s="18" t="s">
        <v>15</v>
      </c>
      <c r="B139" s="18" t="s">
        <v>3</v>
      </c>
      <c r="C139" s="18" t="s">
        <v>398</v>
      </c>
      <c r="D139" s="18" t="s">
        <v>399</v>
      </c>
      <c r="E139" s="18" t="s">
        <v>60</v>
      </c>
      <c r="F139" s="19" t="n">
        <f aca="false">Cantidades_Modelo!$C$17</f>
        <v>173007.98</v>
      </c>
      <c r="G139" s="20" t="n">
        <v>2300</v>
      </c>
      <c r="H139" s="21" t="n">
        <f aca="false">F139*G139</f>
        <v>397918354</v>
      </c>
      <c r="I139" s="18" t="s">
        <v>400</v>
      </c>
      <c r="J139" s="18" t="s">
        <v>62</v>
      </c>
    </row>
    <row r="140" customFormat="false" ht="15" hidden="false" customHeight="false" outlineLevel="0" collapsed="false">
      <c r="A140" s="18" t="s">
        <v>15</v>
      </c>
      <c r="B140" s="18" t="s">
        <v>4</v>
      </c>
      <c r="C140" s="18" t="s">
        <v>401</v>
      </c>
      <c r="D140" s="18" t="s">
        <v>402</v>
      </c>
      <c r="E140" s="18" t="s">
        <v>60</v>
      </c>
      <c r="F140" s="19" t="n">
        <f aca="false">Cantidades_Modelo!$C$26</f>
        <v>386084.06</v>
      </c>
      <c r="G140" s="20" t="n">
        <v>2100</v>
      </c>
      <c r="H140" s="21" t="n">
        <f aca="false">F140*G140</f>
        <v>810776526</v>
      </c>
      <c r="I140" s="18" t="s">
        <v>400</v>
      </c>
      <c r="J140" s="18" t="s">
        <v>62</v>
      </c>
    </row>
    <row r="141" customFormat="false" ht="15" hidden="false" customHeight="false" outlineLevel="0" collapsed="false">
      <c r="A141" s="18" t="s">
        <v>15</v>
      </c>
      <c r="B141" s="18" t="s">
        <v>3</v>
      </c>
      <c r="C141" s="18" t="s">
        <v>403</v>
      </c>
      <c r="D141" s="18" t="s">
        <v>404</v>
      </c>
      <c r="E141" s="18" t="s">
        <v>103</v>
      </c>
      <c r="F141" s="22" t="n">
        <v>420</v>
      </c>
      <c r="G141" s="20" t="n">
        <v>95000</v>
      </c>
      <c r="H141" s="21" t="n">
        <f aca="false">F141*G141</f>
        <v>39900000</v>
      </c>
      <c r="I141" s="18" t="s">
        <v>405</v>
      </c>
      <c r="J141" s="18" t="s">
        <v>84</v>
      </c>
    </row>
    <row r="142" customFormat="false" ht="15" hidden="false" customHeight="false" outlineLevel="0" collapsed="false">
      <c r="A142" s="18" t="s">
        <v>15</v>
      </c>
      <c r="B142" s="18" t="s">
        <v>3</v>
      </c>
      <c r="C142" s="18" t="s">
        <v>406</v>
      </c>
      <c r="D142" s="18" t="s">
        <v>407</v>
      </c>
      <c r="E142" s="18" t="s">
        <v>82</v>
      </c>
      <c r="F142" s="22" t="n">
        <v>1</v>
      </c>
      <c r="G142" s="20" t="n">
        <v>180000000</v>
      </c>
      <c r="H142" s="21" t="n">
        <f aca="false">F142*G142</f>
        <v>180000000</v>
      </c>
      <c r="I142" s="18" t="s">
        <v>408</v>
      </c>
      <c r="J142" s="18" t="s">
        <v>84</v>
      </c>
    </row>
    <row r="143" customFormat="false" ht="15" hidden="false" customHeight="false" outlineLevel="0" collapsed="false">
      <c r="A143" s="18" t="s">
        <v>15</v>
      </c>
      <c r="B143" s="18" t="s">
        <v>3</v>
      </c>
      <c r="C143" s="18" t="s">
        <v>409</v>
      </c>
      <c r="D143" s="18" t="s">
        <v>410</v>
      </c>
      <c r="E143" s="18" t="s">
        <v>60</v>
      </c>
      <c r="F143" s="19" t="n">
        <f aca="false">Cantidades_Modelo!$C$23*0.9+6100</f>
        <v>6444.52</v>
      </c>
      <c r="G143" s="20" t="n">
        <v>38000</v>
      </c>
      <c r="H143" s="21" t="n">
        <f aca="false">F143*G143</f>
        <v>244891760</v>
      </c>
      <c r="I143" s="18" t="s">
        <v>284</v>
      </c>
      <c r="J143" s="18" t="s">
        <v>62</v>
      </c>
    </row>
    <row r="144" customFormat="false" ht="15" hidden="false" customHeight="false" outlineLevel="0" collapsed="false">
      <c r="A144" s="18" t="s">
        <v>15</v>
      </c>
      <c r="B144" s="18" t="s">
        <v>3</v>
      </c>
      <c r="C144" s="18" t="s">
        <v>411</v>
      </c>
      <c r="D144" s="18" t="s">
        <v>412</v>
      </c>
      <c r="E144" s="18" t="s">
        <v>413</v>
      </c>
      <c r="F144" s="19" t="n">
        <f aca="false">Cantidades_Modelo!$C$70</f>
        <v>10095.38</v>
      </c>
      <c r="G144" s="20" t="n">
        <v>4200</v>
      </c>
      <c r="H144" s="21" t="n">
        <f aca="false">F144*G144</f>
        <v>42400596</v>
      </c>
      <c r="I144" s="18" t="s">
        <v>414</v>
      </c>
      <c r="J144" s="18" t="s">
        <v>62</v>
      </c>
    </row>
    <row r="145" customFormat="false" ht="15" hidden="false" customHeight="false" outlineLevel="0" collapsed="false">
      <c r="A145" s="18" t="s">
        <v>15</v>
      </c>
      <c r="B145" s="18" t="s">
        <v>4</v>
      </c>
      <c r="C145" s="18" t="s">
        <v>415</v>
      </c>
      <c r="D145" s="18" t="s">
        <v>416</v>
      </c>
      <c r="E145" s="18" t="s">
        <v>413</v>
      </c>
      <c r="F145" s="19" t="n">
        <f aca="false">Cantidades_Modelo!$C$71</f>
        <v>1029</v>
      </c>
      <c r="G145" s="20" t="n">
        <v>16500</v>
      </c>
      <c r="H145" s="21" t="n">
        <f aca="false">F145*G145</f>
        <v>16978500</v>
      </c>
      <c r="I145" s="18" t="s">
        <v>417</v>
      </c>
      <c r="J145" s="18" t="s">
        <v>62</v>
      </c>
    </row>
    <row r="146" customFormat="false" ht="15" hidden="false" customHeight="false" outlineLevel="0" collapsed="false">
      <c r="A146" s="18" t="s">
        <v>15</v>
      </c>
      <c r="B146" s="18" t="s">
        <v>4</v>
      </c>
      <c r="C146" s="18" t="s">
        <v>418</v>
      </c>
      <c r="D146" s="18" t="s">
        <v>419</v>
      </c>
      <c r="E146" s="18" t="s">
        <v>413</v>
      </c>
      <c r="F146" s="19" t="n">
        <f aca="false">Cantidades_Modelo!$C$72</f>
        <v>3575.77</v>
      </c>
      <c r="G146" s="20" t="n">
        <v>5200</v>
      </c>
      <c r="H146" s="21" t="n">
        <f aca="false">F146*G146</f>
        <v>18594004</v>
      </c>
      <c r="I146" s="18" t="s">
        <v>414</v>
      </c>
      <c r="J146" s="18" t="s">
        <v>62</v>
      </c>
    </row>
    <row r="147" customFormat="false" ht="15" hidden="false" customHeight="false" outlineLevel="0" collapsed="false">
      <c r="A147" s="18" t="s">
        <v>15</v>
      </c>
      <c r="B147" s="18" t="s">
        <v>5</v>
      </c>
      <c r="C147" s="18" t="s">
        <v>420</v>
      </c>
      <c r="D147" s="18" t="s">
        <v>421</v>
      </c>
      <c r="E147" s="18" t="s">
        <v>422</v>
      </c>
      <c r="F147" s="22" t="n">
        <v>20000</v>
      </c>
      <c r="G147" s="20" t="n">
        <v>7400</v>
      </c>
      <c r="H147" s="21" t="n">
        <f aca="false">F147*G147</f>
        <v>148000000</v>
      </c>
      <c r="I147" s="18" t="s">
        <v>423</v>
      </c>
      <c r="J147" s="18" t="s">
        <v>84</v>
      </c>
    </row>
    <row r="148" customFormat="false" ht="15" hidden="false" customHeight="false" outlineLevel="0" collapsed="false">
      <c r="A148" s="18" t="s">
        <v>15</v>
      </c>
      <c r="B148" s="18" t="s">
        <v>5</v>
      </c>
      <c r="C148" s="18" t="s">
        <v>424</v>
      </c>
      <c r="D148" s="18" t="s">
        <v>425</v>
      </c>
      <c r="E148" s="18" t="s">
        <v>426</v>
      </c>
      <c r="F148" s="22" t="n">
        <v>8000</v>
      </c>
      <c r="G148" s="20" t="n">
        <v>9800</v>
      </c>
      <c r="H148" s="21" t="n">
        <f aca="false">F148*G148</f>
        <v>78400000</v>
      </c>
      <c r="I148" s="18" t="s">
        <v>427</v>
      </c>
      <c r="J148" s="18" t="s">
        <v>84</v>
      </c>
    </row>
    <row r="149" customFormat="false" ht="15" hidden="false" customHeight="false" outlineLevel="0" collapsed="false">
      <c r="A149" s="18" t="s">
        <v>15</v>
      </c>
      <c r="B149" s="18" t="s">
        <v>5</v>
      </c>
      <c r="C149" s="18" t="s">
        <v>428</v>
      </c>
      <c r="D149" s="18" t="s">
        <v>429</v>
      </c>
      <c r="E149" s="18" t="s">
        <v>103</v>
      </c>
      <c r="F149" s="19" t="n">
        <f aca="false">ROUND(Cantidades_Modelo!$C$57*0.3,0)</f>
        <v>1706</v>
      </c>
      <c r="G149" s="20" t="n">
        <v>68000</v>
      </c>
      <c r="H149" s="21" t="n">
        <f aca="false">F149*G149</f>
        <v>116008000</v>
      </c>
      <c r="I149" s="18" t="s">
        <v>430</v>
      </c>
      <c r="J149" s="18" t="s">
        <v>62</v>
      </c>
    </row>
    <row r="150" customFormat="false" ht="15" hidden="false" customHeight="false" outlineLevel="0" collapsed="false">
      <c r="A150" s="18" t="s">
        <v>15</v>
      </c>
      <c r="B150" s="18" t="s">
        <v>5</v>
      </c>
      <c r="C150" s="18" t="s">
        <v>431</v>
      </c>
      <c r="D150" s="18" t="s">
        <v>432</v>
      </c>
      <c r="E150" s="18" t="s">
        <v>82</v>
      </c>
      <c r="F150" s="22" t="n">
        <v>1</v>
      </c>
      <c r="G150" s="20" t="n">
        <v>42000000</v>
      </c>
      <c r="H150" s="21" t="n">
        <f aca="false">F150*G150</f>
        <v>42000000</v>
      </c>
      <c r="I150" s="18" t="s">
        <v>433</v>
      </c>
      <c r="J150" s="18" t="s">
        <v>84</v>
      </c>
    </row>
    <row r="151" customFormat="false" ht="15" hidden="false" customHeight="false" outlineLevel="0" collapsed="false">
      <c r="A151" s="18" t="s">
        <v>15</v>
      </c>
      <c r="B151" s="18" t="s">
        <v>5</v>
      </c>
      <c r="C151" s="18" t="s">
        <v>434</v>
      </c>
      <c r="D151" s="18" t="s">
        <v>435</v>
      </c>
      <c r="E151" s="18" t="s">
        <v>82</v>
      </c>
      <c r="F151" s="22" t="n">
        <v>1</v>
      </c>
      <c r="G151" s="20" t="n">
        <v>48000000</v>
      </c>
      <c r="H151" s="21" t="n">
        <f aca="false">F151*G151</f>
        <v>48000000</v>
      </c>
      <c r="I151" s="18" t="s">
        <v>436</v>
      </c>
      <c r="J151" s="18" t="s">
        <v>84</v>
      </c>
    </row>
    <row r="152" customFormat="false" ht="15" hidden="false" customHeight="false" outlineLevel="0" collapsed="false">
      <c r="A152" s="18" t="s">
        <v>15</v>
      </c>
      <c r="B152" s="18" t="s">
        <v>3</v>
      </c>
      <c r="C152" s="18" t="s">
        <v>437</v>
      </c>
      <c r="D152" s="18" t="s">
        <v>438</v>
      </c>
      <c r="E152" s="18" t="s">
        <v>82</v>
      </c>
      <c r="F152" s="22" t="n">
        <v>1</v>
      </c>
      <c r="G152" s="20" t="n">
        <v>65000000</v>
      </c>
      <c r="H152" s="21" t="n">
        <f aca="false">F152*G152</f>
        <v>65000000</v>
      </c>
      <c r="I152" s="18" t="s">
        <v>439</v>
      </c>
      <c r="J152" s="18" t="s">
        <v>84</v>
      </c>
    </row>
    <row r="153" customFormat="false" ht="15" hidden="false" customHeight="false" outlineLevel="0" collapsed="false">
      <c r="A153" s="16" t="s">
        <v>16</v>
      </c>
      <c r="B153" s="17"/>
      <c r="C153" s="17"/>
      <c r="D153" s="17"/>
      <c r="E153" s="17"/>
      <c r="F153" s="17"/>
      <c r="G153" s="17"/>
      <c r="H153" s="17"/>
      <c r="I153" s="17"/>
      <c r="J153" s="17"/>
    </row>
    <row r="154" customFormat="false" ht="15" hidden="false" customHeight="false" outlineLevel="0" collapsed="false">
      <c r="A154" s="18" t="s">
        <v>16</v>
      </c>
      <c r="B154" s="18" t="s">
        <v>3</v>
      </c>
      <c r="C154" s="18" t="s">
        <v>440</v>
      </c>
      <c r="D154" s="18" t="s">
        <v>441</v>
      </c>
      <c r="E154" s="18" t="s">
        <v>60</v>
      </c>
      <c r="F154" s="19" t="n">
        <f aca="false">Cantidades_Modelo!$C$17</f>
        <v>173007.98</v>
      </c>
      <c r="G154" s="20" t="n">
        <v>1150</v>
      </c>
      <c r="H154" s="21" t="n">
        <f aca="false">F154*G154</f>
        <v>198959177</v>
      </c>
      <c r="I154" s="18" t="s">
        <v>442</v>
      </c>
      <c r="J154" s="18" t="s">
        <v>62</v>
      </c>
    </row>
    <row r="155" customFormat="false" ht="15" hidden="false" customHeight="false" outlineLevel="0" collapsed="false">
      <c r="A155" s="18" t="s">
        <v>16</v>
      </c>
      <c r="B155" s="18" t="s">
        <v>4</v>
      </c>
      <c r="C155" s="18" t="s">
        <v>443</v>
      </c>
      <c r="D155" s="18" t="s">
        <v>444</v>
      </c>
      <c r="E155" s="18" t="s">
        <v>60</v>
      </c>
      <c r="F155" s="19" t="n">
        <f aca="false">Cantidades_Modelo!$C$26</f>
        <v>386084.06</v>
      </c>
      <c r="G155" s="20" t="n">
        <v>950</v>
      </c>
      <c r="H155" s="21" t="n">
        <f aca="false">F155*G155</f>
        <v>366779857</v>
      </c>
      <c r="I155" s="18" t="s">
        <v>442</v>
      </c>
      <c r="J155" s="18" t="s">
        <v>62</v>
      </c>
    </row>
    <row r="156" customFormat="false" ht="15" hidden="false" customHeight="false" outlineLevel="0" collapsed="false">
      <c r="A156" s="18" t="s">
        <v>16</v>
      </c>
      <c r="B156" s="18" t="s">
        <v>5</v>
      </c>
      <c r="C156" s="18" t="s">
        <v>445</v>
      </c>
      <c r="D156" s="18" t="s">
        <v>446</v>
      </c>
      <c r="E156" s="18" t="s">
        <v>82</v>
      </c>
      <c r="F156" s="22" t="n">
        <v>1</v>
      </c>
      <c r="G156" s="20" t="n">
        <v>210000000</v>
      </c>
      <c r="H156" s="21" t="n">
        <f aca="false">F156*G156</f>
        <v>210000000</v>
      </c>
      <c r="I156" s="18" t="s">
        <v>447</v>
      </c>
      <c r="J156" s="18" t="s">
        <v>84</v>
      </c>
    </row>
    <row r="157" customFormat="false" ht="15" hidden="false" customHeight="false" outlineLevel="0" collapsed="false">
      <c r="A157" s="18" t="s">
        <v>16</v>
      </c>
      <c r="B157" s="18" t="s">
        <v>5</v>
      </c>
      <c r="C157" s="18" t="s">
        <v>448</v>
      </c>
      <c r="D157" s="18" t="s">
        <v>449</v>
      </c>
      <c r="E157" s="18" t="s">
        <v>82</v>
      </c>
      <c r="F157" s="22" t="n">
        <v>1</v>
      </c>
      <c r="G157" s="20" t="n">
        <v>95000000</v>
      </c>
      <c r="H157" s="21" t="n">
        <f aca="false">F157*G157</f>
        <v>95000000</v>
      </c>
      <c r="I157" s="18" t="s">
        <v>450</v>
      </c>
      <c r="J157" s="18" t="s">
        <v>84</v>
      </c>
    </row>
    <row r="158" customFormat="false" ht="15" hidden="false" customHeight="false" outlineLevel="0" collapsed="false">
      <c r="A158" s="18" t="s">
        <v>16</v>
      </c>
      <c r="B158" s="18" t="s">
        <v>5</v>
      </c>
      <c r="C158" s="18" t="s">
        <v>451</v>
      </c>
      <c r="D158" s="18" t="s">
        <v>452</v>
      </c>
      <c r="E158" s="18" t="s">
        <v>60</v>
      </c>
      <c r="F158" s="19" t="n">
        <f aca="false">Cantidades_Modelo!$C$19+Cantidades_Modelo!$C$27+Cantidades_Modelo!$C$75</f>
        <v>248185.55</v>
      </c>
      <c r="G158" s="20" t="n">
        <v>260</v>
      </c>
      <c r="H158" s="21" t="n">
        <f aca="false">F158*G158</f>
        <v>64528243</v>
      </c>
      <c r="I158" s="18" t="s">
        <v>453</v>
      </c>
      <c r="J158" s="18" t="s">
        <v>62</v>
      </c>
    </row>
    <row r="159" customFormat="false" ht="15" hidden="false" customHeight="false" outlineLevel="0" collapsed="false">
      <c r="A159" s="16" t="s">
        <v>17</v>
      </c>
      <c r="B159" s="17"/>
      <c r="C159" s="17"/>
      <c r="D159" s="17"/>
      <c r="E159" s="17"/>
      <c r="F159" s="17"/>
      <c r="G159" s="17"/>
      <c r="H159" s="17"/>
      <c r="I159" s="17"/>
      <c r="J159" s="17"/>
    </row>
    <row r="160" customFormat="false" ht="15" hidden="false" customHeight="false" outlineLevel="0" collapsed="false">
      <c r="A160" s="18" t="s">
        <v>17</v>
      </c>
      <c r="B160" s="18" t="s">
        <v>5</v>
      </c>
      <c r="C160" s="18" t="s">
        <v>454</v>
      </c>
      <c r="D160" s="18" t="s">
        <v>455</v>
      </c>
      <c r="E160" s="18" t="s">
        <v>456</v>
      </c>
      <c r="F160" s="22" t="n">
        <v>9000</v>
      </c>
      <c r="G160" s="20" t="n">
        <v>52000</v>
      </c>
      <c r="H160" s="21" t="n">
        <f aca="false">F160*G160</f>
        <v>468000000</v>
      </c>
      <c r="I160" s="18" t="s">
        <v>457</v>
      </c>
      <c r="J160" s="18" t="s">
        <v>84</v>
      </c>
    </row>
    <row r="161" customFormat="false" ht="15" hidden="false" customHeight="false" outlineLevel="0" collapsed="false">
      <c r="A161" s="18" t="s">
        <v>17</v>
      </c>
      <c r="B161" s="18" t="s">
        <v>5</v>
      </c>
      <c r="C161" s="18" t="s">
        <v>458</v>
      </c>
      <c r="D161" s="18" t="s">
        <v>459</v>
      </c>
      <c r="E161" s="18" t="s">
        <v>460</v>
      </c>
      <c r="F161" s="22" t="n">
        <v>400</v>
      </c>
      <c r="G161" s="20" t="n">
        <v>420000</v>
      </c>
      <c r="H161" s="21" t="n">
        <f aca="false">F161*G161</f>
        <v>168000000</v>
      </c>
      <c r="I161" s="18" t="s">
        <v>461</v>
      </c>
      <c r="J161" s="18" t="s">
        <v>84</v>
      </c>
    </row>
    <row r="162" customFormat="false" ht="15" hidden="false" customHeight="false" outlineLevel="0" collapsed="false">
      <c r="A162" s="18" t="s">
        <v>17</v>
      </c>
      <c r="B162" s="18" t="s">
        <v>3</v>
      </c>
      <c r="C162" s="18" t="s">
        <v>462</v>
      </c>
      <c r="D162" s="18" t="s">
        <v>463</v>
      </c>
      <c r="E162" s="18" t="s">
        <v>60</v>
      </c>
      <c r="F162" s="19" t="n">
        <f aca="false">Cantidades_Modelo!$C$17*0.45</f>
        <v>77853.591</v>
      </c>
      <c r="G162" s="20" t="n">
        <v>3800</v>
      </c>
      <c r="H162" s="21" t="n">
        <f aca="false">F162*G162</f>
        <v>295843645.8</v>
      </c>
      <c r="I162" s="18" t="s">
        <v>464</v>
      </c>
      <c r="J162" s="18" t="s">
        <v>62</v>
      </c>
    </row>
    <row r="163" customFormat="false" ht="15" hidden="false" customHeight="false" outlineLevel="0" collapsed="false">
      <c r="A163" s="18" t="s">
        <v>17</v>
      </c>
      <c r="B163" s="18" t="s">
        <v>4</v>
      </c>
      <c r="C163" s="18" t="s">
        <v>465</v>
      </c>
      <c r="D163" s="18" t="s">
        <v>466</v>
      </c>
      <c r="E163" s="18" t="s">
        <v>60</v>
      </c>
      <c r="F163" s="19" t="n">
        <f aca="false">Cantidades_Modelo!$C$26</f>
        <v>386084.06</v>
      </c>
      <c r="G163" s="20" t="n">
        <v>2600</v>
      </c>
      <c r="H163" s="21" t="n">
        <f aca="false">F163*G163</f>
        <v>1003818556</v>
      </c>
      <c r="I163" s="18" t="s">
        <v>464</v>
      </c>
      <c r="J163" s="18" t="s">
        <v>62</v>
      </c>
    </row>
    <row r="164" customFormat="false" ht="15" hidden="false" customHeight="false" outlineLevel="0" collapsed="false">
      <c r="A164" s="18" t="s">
        <v>17</v>
      </c>
      <c r="B164" s="18" t="s">
        <v>5</v>
      </c>
      <c r="C164" s="18" t="s">
        <v>467</v>
      </c>
      <c r="D164" s="18" t="s">
        <v>468</v>
      </c>
      <c r="E164" s="18" t="s">
        <v>60</v>
      </c>
      <c r="F164" s="19" t="n">
        <f aca="false">Cantidades_Modelo!$C$20</f>
        <v>349027.18</v>
      </c>
      <c r="G164" s="20" t="n">
        <v>420</v>
      </c>
      <c r="H164" s="21" t="n">
        <f aca="false">F164*G164</f>
        <v>146591415.6</v>
      </c>
      <c r="I164" s="18" t="s">
        <v>469</v>
      </c>
      <c r="J164" s="18" t="s">
        <v>62</v>
      </c>
    </row>
    <row r="165" customFormat="false" ht="15" hidden="false" customHeight="false" outlineLevel="0" collapsed="false">
      <c r="A165" s="16" t="s">
        <v>18</v>
      </c>
      <c r="B165" s="17"/>
      <c r="C165" s="17"/>
      <c r="D165" s="17"/>
      <c r="E165" s="17"/>
      <c r="F165" s="17"/>
      <c r="G165" s="17"/>
      <c r="H165" s="17"/>
      <c r="I165" s="17"/>
      <c r="J165" s="17"/>
    </row>
    <row r="166" customFormat="false" ht="15" hidden="false" customHeight="false" outlineLevel="0" collapsed="false">
      <c r="A166" s="18" t="s">
        <v>18</v>
      </c>
      <c r="B166" s="18" t="s">
        <v>5</v>
      </c>
      <c r="C166" s="18" t="s">
        <v>470</v>
      </c>
      <c r="D166" s="18" t="s">
        <v>471</v>
      </c>
      <c r="E166" s="18" t="s">
        <v>60</v>
      </c>
      <c r="F166" s="19" t="n">
        <f aca="false">Cantidades_Modelo!$C$17+Cantidades_Modelo!$C$26+Cantidades_Modelo!$C$20</f>
        <v>908119.22</v>
      </c>
      <c r="G166" s="20" t="n">
        <v>520</v>
      </c>
      <c r="H166" s="21" t="n">
        <f aca="false">F166*G166</f>
        <v>472221994.4</v>
      </c>
      <c r="I166" s="18" t="s">
        <v>472</v>
      </c>
      <c r="J166" s="18" t="s">
        <v>62</v>
      </c>
    </row>
    <row r="167" customFormat="false" ht="15" hidden="false" customHeight="false" outlineLevel="0" collapsed="false">
      <c r="A167" s="18" t="s">
        <v>18</v>
      </c>
      <c r="B167" s="18" t="s">
        <v>5</v>
      </c>
      <c r="C167" s="18" t="s">
        <v>473</v>
      </c>
      <c r="D167" s="18" t="s">
        <v>474</v>
      </c>
      <c r="E167" s="18" t="s">
        <v>60</v>
      </c>
      <c r="F167" s="19" t="n">
        <f aca="false">Cantidades_Modelo!$C$17+Cantidades_Modelo!$C$26+Cantidades_Modelo!$C$20</f>
        <v>908119.22</v>
      </c>
      <c r="G167" s="20" t="n">
        <v>260</v>
      </c>
      <c r="H167" s="21" t="n">
        <f aca="false">F167*G167</f>
        <v>236110997.2</v>
      </c>
      <c r="I167" s="18" t="s">
        <v>475</v>
      </c>
      <c r="J167" s="18" t="s">
        <v>62</v>
      </c>
    </row>
    <row r="168" customFormat="false" ht="15" hidden="false" customHeight="false" outlineLevel="0" collapsed="false">
      <c r="A168" s="18" t="s">
        <v>18</v>
      </c>
      <c r="B168" s="18" t="s">
        <v>5</v>
      </c>
      <c r="C168" s="18" t="s">
        <v>476</v>
      </c>
      <c r="D168" s="18" t="s">
        <v>477</v>
      </c>
      <c r="E168" s="18" t="s">
        <v>82</v>
      </c>
      <c r="F168" s="22" t="n">
        <v>1</v>
      </c>
      <c r="G168" s="20" t="n">
        <v>260000000</v>
      </c>
      <c r="H168" s="21" t="n">
        <f aca="false">F168*G168</f>
        <v>260000000</v>
      </c>
      <c r="I168" s="18" t="s">
        <v>478</v>
      </c>
      <c r="J168" s="18" t="s">
        <v>84</v>
      </c>
    </row>
    <row r="169" customFormat="false" ht="15" hidden="false" customHeight="false" outlineLevel="0" collapsed="false">
      <c r="A169" s="18" t="s">
        <v>18</v>
      </c>
      <c r="B169" s="18" t="s">
        <v>5</v>
      </c>
      <c r="C169" s="18" t="s">
        <v>479</v>
      </c>
      <c r="D169" s="18" t="s">
        <v>480</v>
      </c>
      <c r="E169" s="18" t="s">
        <v>82</v>
      </c>
      <c r="F169" s="22" t="n">
        <v>1</v>
      </c>
      <c r="G169" s="20" t="n">
        <v>38000000</v>
      </c>
      <c r="H169" s="21" t="n">
        <f aca="false">F169*G169</f>
        <v>38000000</v>
      </c>
      <c r="I169" s="18" t="s">
        <v>481</v>
      </c>
      <c r="J169" s="18" t="s">
        <v>84</v>
      </c>
    </row>
    <row r="170" customFormat="false" ht="15" hidden="false" customHeight="false" outlineLevel="0" collapsed="false">
      <c r="A170" s="18" t="s">
        <v>18</v>
      </c>
      <c r="B170" s="18" t="s">
        <v>5</v>
      </c>
      <c r="C170" s="18" t="s">
        <v>482</v>
      </c>
      <c r="D170" s="18" t="s">
        <v>483</v>
      </c>
      <c r="E170" s="18" t="s">
        <v>103</v>
      </c>
      <c r="F170" s="22" t="n">
        <v>2400</v>
      </c>
      <c r="G170" s="20" t="n">
        <v>6500</v>
      </c>
      <c r="H170" s="21" t="n">
        <f aca="false">F170*G170</f>
        <v>15600000</v>
      </c>
      <c r="I170" s="18" t="s">
        <v>484</v>
      </c>
      <c r="J170" s="18" t="s">
        <v>84</v>
      </c>
    </row>
    <row r="171" customFormat="false" ht="15" hidden="false" customHeight="false" outlineLevel="0" collapsed="false">
      <c r="A171" s="16" t="s">
        <v>19</v>
      </c>
      <c r="B171" s="17"/>
      <c r="C171" s="17"/>
      <c r="D171" s="17"/>
      <c r="E171" s="17"/>
      <c r="F171" s="17"/>
      <c r="G171" s="17"/>
      <c r="H171" s="17"/>
      <c r="I171" s="17"/>
      <c r="J171" s="17"/>
    </row>
    <row r="172" customFormat="false" ht="15" hidden="false" customHeight="false" outlineLevel="0" collapsed="false">
      <c r="A172" s="18" t="s">
        <v>19</v>
      </c>
      <c r="B172" s="18" t="s">
        <v>5</v>
      </c>
      <c r="C172" s="18" t="s">
        <v>485</v>
      </c>
      <c r="D172" s="18" t="s">
        <v>486</v>
      </c>
      <c r="E172" s="18" t="s">
        <v>60</v>
      </c>
      <c r="F172" s="19" t="n">
        <f aca="false">Cantidades_Modelo!$C$17+Cantidades_Modelo!$C$26</f>
        <v>559092.04</v>
      </c>
      <c r="G172" s="20" t="n">
        <v>520</v>
      </c>
      <c r="H172" s="21" t="n">
        <f aca="false">F172*G172</f>
        <v>290727860.8</v>
      </c>
      <c r="I172" s="18" t="s">
        <v>487</v>
      </c>
      <c r="J172" s="18" t="s">
        <v>62</v>
      </c>
    </row>
    <row r="173" customFormat="false" ht="15" hidden="false" customHeight="false" outlineLevel="0" collapsed="false">
      <c r="A173" s="18" t="s">
        <v>19</v>
      </c>
      <c r="B173" s="18" t="s">
        <v>3</v>
      </c>
      <c r="C173" s="18" t="s">
        <v>488</v>
      </c>
      <c r="D173" s="18" t="s">
        <v>489</v>
      </c>
      <c r="E173" s="18" t="s">
        <v>82</v>
      </c>
      <c r="F173" s="22" t="n">
        <v>1</v>
      </c>
      <c r="G173" s="20" t="n">
        <v>260000000</v>
      </c>
      <c r="H173" s="21" t="n">
        <f aca="false">F173*G173</f>
        <v>260000000</v>
      </c>
      <c r="I173" s="18" t="s">
        <v>490</v>
      </c>
      <c r="J173" s="18" t="s">
        <v>84</v>
      </c>
    </row>
    <row r="174" customFormat="false" ht="15" hidden="false" customHeight="false" outlineLevel="0" collapsed="false">
      <c r="A174" s="18" t="s">
        <v>19</v>
      </c>
      <c r="B174" s="18" t="s">
        <v>5</v>
      </c>
      <c r="C174" s="18" t="s">
        <v>491</v>
      </c>
      <c r="D174" s="18" t="s">
        <v>492</v>
      </c>
      <c r="E174" s="18" t="s">
        <v>82</v>
      </c>
      <c r="F174" s="22" t="n">
        <v>1</v>
      </c>
      <c r="G174" s="20" t="n">
        <v>240000000</v>
      </c>
      <c r="H174" s="21" t="n">
        <f aca="false">F174*G174</f>
        <v>240000000</v>
      </c>
      <c r="I174" s="18" t="s">
        <v>493</v>
      </c>
      <c r="J174" s="18" t="s">
        <v>84</v>
      </c>
    </row>
    <row r="175" customFormat="false" ht="15" hidden="false" customHeight="false" outlineLevel="0" collapsed="false">
      <c r="A175" s="18" t="s">
        <v>19</v>
      </c>
      <c r="B175" s="18" t="s">
        <v>3</v>
      </c>
      <c r="C175" s="18" t="s">
        <v>494</v>
      </c>
      <c r="D175" s="18" t="s">
        <v>495</v>
      </c>
      <c r="E175" s="18" t="s">
        <v>103</v>
      </c>
      <c r="F175" s="22" t="n">
        <v>320</v>
      </c>
      <c r="G175" s="20" t="n">
        <v>160000</v>
      </c>
      <c r="H175" s="21" t="n">
        <f aca="false">F175*G175</f>
        <v>51200000</v>
      </c>
      <c r="I175" s="18" t="s">
        <v>496</v>
      </c>
      <c r="J175" s="18" t="s">
        <v>84</v>
      </c>
    </row>
    <row r="176" customFormat="false" ht="15" hidden="false" customHeight="false" outlineLevel="0" collapsed="false">
      <c r="A176" s="18" t="s">
        <v>19</v>
      </c>
      <c r="B176" s="18" t="s">
        <v>3</v>
      </c>
      <c r="C176" s="18" t="s">
        <v>497</v>
      </c>
      <c r="D176" s="18" t="s">
        <v>498</v>
      </c>
      <c r="E176" s="18" t="s">
        <v>82</v>
      </c>
      <c r="F176" s="22" t="n">
        <v>1</v>
      </c>
      <c r="G176" s="20" t="n">
        <v>210000000</v>
      </c>
      <c r="H176" s="21" t="n">
        <f aca="false">F176*G176</f>
        <v>210000000</v>
      </c>
      <c r="I176" s="18" t="s">
        <v>499</v>
      </c>
      <c r="J176" s="18" t="s">
        <v>84</v>
      </c>
    </row>
    <row r="177" customFormat="false" ht="15" hidden="false" customHeight="false" outlineLevel="0" collapsed="false">
      <c r="A177" s="18" t="s">
        <v>19</v>
      </c>
      <c r="B177" s="18" t="s">
        <v>5</v>
      </c>
      <c r="C177" s="18" t="s">
        <v>500</v>
      </c>
      <c r="D177" s="18" t="s">
        <v>501</v>
      </c>
      <c r="E177" s="18" t="s">
        <v>82</v>
      </c>
      <c r="F177" s="22" t="n">
        <v>1</v>
      </c>
      <c r="G177" s="20" t="n">
        <v>140000000</v>
      </c>
      <c r="H177" s="21" t="n">
        <f aca="false">F177*G177</f>
        <v>140000000</v>
      </c>
      <c r="I177" s="18" t="s">
        <v>502</v>
      </c>
      <c r="J177" s="18" t="s">
        <v>84</v>
      </c>
    </row>
    <row r="178" customFormat="false" ht="15" hidden="false" customHeight="false" outlineLevel="0" collapsed="false">
      <c r="A178" s="16" t="s">
        <v>20</v>
      </c>
      <c r="B178" s="17"/>
      <c r="C178" s="17"/>
      <c r="D178" s="17"/>
      <c r="E178" s="17"/>
      <c r="F178" s="17"/>
      <c r="G178" s="17"/>
      <c r="H178" s="17"/>
      <c r="I178" s="17"/>
      <c r="J178" s="17"/>
    </row>
    <row r="179" customFormat="false" ht="15" hidden="false" customHeight="false" outlineLevel="0" collapsed="false">
      <c r="A179" s="18" t="s">
        <v>20</v>
      </c>
      <c r="B179" s="18" t="s">
        <v>3</v>
      </c>
      <c r="C179" s="18" t="s">
        <v>503</v>
      </c>
      <c r="D179" s="18" t="s">
        <v>504</v>
      </c>
      <c r="E179" s="18" t="s">
        <v>103</v>
      </c>
      <c r="F179" s="19" t="n">
        <f aca="false">Cantidades_Modelo!$C$67</f>
        <v>48</v>
      </c>
      <c r="G179" s="20" t="n">
        <v>3600000</v>
      </c>
      <c r="H179" s="21" t="n">
        <f aca="false">F179*G179</f>
        <v>172800000</v>
      </c>
      <c r="I179" s="18" t="s">
        <v>505</v>
      </c>
      <c r="J179" s="18" t="s">
        <v>62</v>
      </c>
    </row>
    <row r="180" customFormat="false" ht="15" hidden="false" customHeight="false" outlineLevel="0" collapsed="false">
      <c r="A180" s="18" t="s">
        <v>20</v>
      </c>
      <c r="B180" s="18" t="s">
        <v>3</v>
      </c>
      <c r="C180" s="18" t="s">
        <v>506</v>
      </c>
      <c r="D180" s="18" t="s">
        <v>507</v>
      </c>
      <c r="E180" s="18" t="s">
        <v>103</v>
      </c>
      <c r="F180" s="19" t="n">
        <f aca="false">Cantidades_Modelo!$C$65</f>
        <v>48</v>
      </c>
      <c r="G180" s="20" t="n">
        <v>6200000</v>
      </c>
      <c r="H180" s="21" t="n">
        <f aca="false">F180*G180</f>
        <v>297600000</v>
      </c>
      <c r="I180" s="18" t="s">
        <v>508</v>
      </c>
      <c r="J180" s="18" t="s">
        <v>62</v>
      </c>
    </row>
    <row r="181" customFormat="false" ht="15" hidden="false" customHeight="false" outlineLevel="0" collapsed="false">
      <c r="A181" s="18" t="s">
        <v>20</v>
      </c>
      <c r="B181" s="18" t="s">
        <v>3</v>
      </c>
      <c r="C181" s="18" t="s">
        <v>509</v>
      </c>
      <c r="D181" s="18" t="s">
        <v>510</v>
      </c>
      <c r="E181" s="18" t="s">
        <v>103</v>
      </c>
      <c r="F181" s="22" t="n">
        <v>8</v>
      </c>
      <c r="G181" s="20" t="n">
        <v>950000</v>
      </c>
      <c r="H181" s="21" t="n">
        <f aca="false">F181*G181</f>
        <v>7600000</v>
      </c>
      <c r="I181" s="18" t="s">
        <v>511</v>
      </c>
      <c r="J181" s="18" t="s">
        <v>84</v>
      </c>
    </row>
    <row r="182" customFormat="false" ht="15" hidden="false" customHeight="false" outlineLevel="0" collapsed="false">
      <c r="A182" s="18" t="s">
        <v>20</v>
      </c>
      <c r="B182" s="18" t="s">
        <v>4</v>
      </c>
      <c r="C182" s="18" t="s">
        <v>512</v>
      </c>
      <c r="D182" s="18" t="s">
        <v>513</v>
      </c>
      <c r="E182" s="18" t="s">
        <v>103</v>
      </c>
      <c r="F182" s="19" t="n">
        <f aca="false">Cantidades_Modelo!$C$68*3</f>
        <v>126</v>
      </c>
      <c r="G182" s="20" t="n">
        <v>3200000</v>
      </c>
      <c r="H182" s="21" t="n">
        <f aca="false">F182*G182</f>
        <v>403200000</v>
      </c>
      <c r="I182" s="18" t="s">
        <v>505</v>
      </c>
      <c r="J182" s="18" t="s">
        <v>62</v>
      </c>
    </row>
    <row r="183" customFormat="false" ht="15" hidden="false" customHeight="false" outlineLevel="0" collapsed="false">
      <c r="A183" s="18" t="s">
        <v>20</v>
      </c>
      <c r="B183" s="18" t="s">
        <v>4</v>
      </c>
      <c r="C183" s="18" t="s">
        <v>514</v>
      </c>
      <c r="D183" s="18" t="s">
        <v>515</v>
      </c>
      <c r="E183" s="18" t="s">
        <v>103</v>
      </c>
      <c r="F183" s="19" t="n">
        <f aca="false">Cantidades_Modelo!$C$69</f>
        <v>16</v>
      </c>
      <c r="G183" s="20" t="n">
        <v>5600000</v>
      </c>
      <c r="H183" s="21" t="n">
        <f aca="false">F183*G183</f>
        <v>89600000</v>
      </c>
      <c r="I183" s="18" t="s">
        <v>516</v>
      </c>
      <c r="J183" s="18" t="s">
        <v>62</v>
      </c>
    </row>
    <row r="184" customFormat="false" ht="15" hidden="false" customHeight="false" outlineLevel="0" collapsed="false">
      <c r="A184" s="18" t="s">
        <v>20</v>
      </c>
      <c r="B184" s="18" t="s">
        <v>4</v>
      </c>
      <c r="C184" s="18" t="s">
        <v>517</v>
      </c>
      <c r="D184" s="18" t="s">
        <v>518</v>
      </c>
      <c r="E184" s="18" t="s">
        <v>103</v>
      </c>
      <c r="F184" s="19" t="n">
        <f aca="false">Cantidades_Modelo!$C$66</f>
        <v>320</v>
      </c>
      <c r="G184" s="20" t="n">
        <v>3300000</v>
      </c>
      <c r="H184" s="21" t="n">
        <f aca="false">F184*G184</f>
        <v>1056000000</v>
      </c>
      <c r="I184" s="18" t="s">
        <v>508</v>
      </c>
      <c r="J184" s="18" t="s">
        <v>62</v>
      </c>
    </row>
    <row r="185" customFormat="false" ht="15" hidden="false" customHeight="false" outlineLevel="0" collapsed="false">
      <c r="A185" s="18" t="s">
        <v>20</v>
      </c>
      <c r="B185" s="18" t="s">
        <v>5</v>
      </c>
      <c r="C185" s="18" t="s">
        <v>519</v>
      </c>
      <c r="D185" s="18" t="s">
        <v>520</v>
      </c>
      <c r="E185" s="18" t="s">
        <v>103</v>
      </c>
      <c r="F185" s="22" t="n">
        <v>8</v>
      </c>
      <c r="G185" s="20" t="n">
        <v>4200000</v>
      </c>
      <c r="H185" s="21" t="n">
        <f aca="false">F185*G185</f>
        <v>33600000</v>
      </c>
      <c r="I185" s="18" t="s">
        <v>521</v>
      </c>
      <c r="J185" s="18" t="s">
        <v>84</v>
      </c>
    </row>
    <row r="186" customFormat="false" ht="15" hidden="false" customHeight="false" outlineLevel="0" collapsed="false">
      <c r="A186" s="16" t="s">
        <v>21</v>
      </c>
      <c r="B186" s="17"/>
      <c r="C186" s="17"/>
      <c r="D186" s="17"/>
      <c r="E186" s="17"/>
      <c r="F186" s="17"/>
      <c r="G186" s="17"/>
      <c r="H186" s="17"/>
      <c r="I186" s="17"/>
      <c r="J186" s="17"/>
    </row>
    <row r="187" customFormat="false" ht="15" hidden="false" customHeight="false" outlineLevel="0" collapsed="false">
      <c r="A187" s="18" t="s">
        <v>21</v>
      </c>
      <c r="B187" s="18" t="s">
        <v>3</v>
      </c>
      <c r="C187" s="18" t="s">
        <v>522</v>
      </c>
      <c r="D187" s="18" t="s">
        <v>523</v>
      </c>
      <c r="E187" s="18" t="s">
        <v>60</v>
      </c>
      <c r="F187" s="19" t="n">
        <f aca="false">Cantidades_Modelo!$C$21</f>
        <v>10500</v>
      </c>
      <c r="G187" s="20" t="n">
        <v>4200</v>
      </c>
      <c r="H187" s="21" t="n">
        <f aca="false">F187*G187</f>
        <v>44100000</v>
      </c>
      <c r="I187" s="18" t="s">
        <v>524</v>
      </c>
      <c r="J187" s="18" t="s">
        <v>62</v>
      </c>
    </row>
    <row r="188" customFormat="false" ht="15" hidden="false" customHeight="false" outlineLevel="0" collapsed="false">
      <c r="A188" s="18" t="s">
        <v>21</v>
      </c>
      <c r="B188" s="18" t="s">
        <v>3</v>
      </c>
      <c r="C188" s="18" t="s">
        <v>525</v>
      </c>
      <c r="D188" s="18" t="s">
        <v>526</v>
      </c>
      <c r="E188" s="18" t="s">
        <v>103</v>
      </c>
      <c r="F188" s="22" t="n">
        <v>8</v>
      </c>
      <c r="G188" s="20" t="n">
        <v>5200000</v>
      </c>
      <c r="H188" s="21" t="n">
        <f aca="false">F188*G188</f>
        <v>41600000</v>
      </c>
      <c r="I188" s="18" t="s">
        <v>527</v>
      </c>
      <c r="J188" s="18" t="s">
        <v>84</v>
      </c>
    </row>
    <row r="189" customFormat="false" ht="15" hidden="false" customHeight="false" outlineLevel="0" collapsed="false">
      <c r="A189" s="18" t="s">
        <v>21</v>
      </c>
      <c r="B189" s="18" t="s">
        <v>3</v>
      </c>
      <c r="C189" s="18" t="s">
        <v>528</v>
      </c>
      <c r="D189" s="18" t="s">
        <v>529</v>
      </c>
      <c r="E189" s="18" t="s">
        <v>82</v>
      </c>
      <c r="F189" s="22" t="n">
        <v>1</v>
      </c>
      <c r="G189" s="20" t="n">
        <v>18000000</v>
      </c>
      <c r="H189" s="21" t="n">
        <f aca="false">F189*G189</f>
        <v>18000000</v>
      </c>
      <c r="I189" s="18" t="s">
        <v>530</v>
      </c>
      <c r="J189" s="18" t="s">
        <v>84</v>
      </c>
    </row>
    <row r="190" customFormat="false" ht="15" hidden="false" customHeight="false" outlineLevel="0" collapsed="false">
      <c r="A190" s="18" t="s">
        <v>21</v>
      </c>
      <c r="B190" s="18" t="s">
        <v>3</v>
      </c>
      <c r="C190" s="18" t="s">
        <v>531</v>
      </c>
      <c r="D190" s="18" t="s">
        <v>532</v>
      </c>
      <c r="E190" s="18" t="s">
        <v>82</v>
      </c>
      <c r="F190" s="22" t="n">
        <v>1</v>
      </c>
      <c r="G190" s="20" t="n">
        <v>52000000</v>
      </c>
      <c r="H190" s="21" t="n">
        <f aca="false">F190*G190</f>
        <v>52000000</v>
      </c>
      <c r="I190" s="18" t="s">
        <v>530</v>
      </c>
      <c r="J190" s="18" t="s">
        <v>84</v>
      </c>
    </row>
    <row r="191" customFormat="false" ht="15" hidden="false" customHeight="false" outlineLevel="0" collapsed="false">
      <c r="A191" s="18" t="s">
        <v>21</v>
      </c>
      <c r="B191" s="18" t="s">
        <v>3</v>
      </c>
      <c r="C191" s="18" t="s">
        <v>533</v>
      </c>
      <c r="D191" s="18" t="s">
        <v>534</v>
      </c>
      <c r="E191" s="18" t="s">
        <v>103</v>
      </c>
      <c r="F191" s="19" t="n">
        <f aca="false">Cantidades_Modelo!$C$83</f>
        <v>3384</v>
      </c>
      <c r="G191" s="20" t="n">
        <v>14500</v>
      </c>
      <c r="H191" s="21" t="n">
        <f aca="false">F191*G191</f>
        <v>49068000</v>
      </c>
      <c r="I191" s="18" t="s">
        <v>535</v>
      </c>
      <c r="J191" s="18" t="s">
        <v>62</v>
      </c>
    </row>
    <row r="192" customFormat="false" ht="15" hidden="false" customHeight="false" outlineLevel="0" collapsed="false">
      <c r="A192" s="18" t="s">
        <v>21</v>
      </c>
      <c r="B192" s="18" t="s">
        <v>3</v>
      </c>
      <c r="C192" s="18" t="s">
        <v>536</v>
      </c>
      <c r="D192" s="18" t="s">
        <v>537</v>
      </c>
      <c r="E192" s="18" t="s">
        <v>103</v>
      </c>
      <c r="F192" s="22" t="n">
        <v>1</v>
      </c>
      <c r="G192" s="20" t="n">
        <v>3800000</v>
      </c>
      <c r="H192" s="21" t="n">
        <f aca="false">F192*G192</f>
        <v>3800000</v>
      </c>
      <c r="I192" s="18" t="s">
        <v>538</v>
      </c>
      <c r="J192" s="18" t="s">
        <v>84</v>
      </c>
    </row>
    <row r="193" customFormat="false" ht="15" hidden="false" customHeight="false" outlineLevel="0" collapsed="false">
      <c r="A193" s="16" t="s">
        <v>22</v>
      </c>
      <c r="B193" s="17"/>
      <c r="C193" s="17"/>
      <c r="D193" s="17"/>
      <c r="E193" s="17"/>
      <c r="F193" s="17"/>
      <c r="G193" s="17"/>
      <c r="H193" s="17"/>
      <c r="I193" s="17"/>
      <c r="J193" s="17"/>
    </row>
    <row r="194" customFormat="false" ht="15" hidden="false" customHeight="false" outlineLevel="0" collapsed="false">
      <c r="A194" s="18" t="s">
        <v>22</v>
      </c>
      <c r="B194" s="18" t="s">
        <v>5</v>
      </c>
      <c r="C194" s="18" t="s">
        <v>539</v>
      </c>
      <c r="D194" s="18" t="s">
        <v>540</v>
      </c>
      <c r="E194" s="18" t="s">
        <v>103</v>
      </c>
      <c r="F194" s="19" t="n">
        <f aca="false">Cantidades_Modelo!$C$57</f>
        <v>5688</v>
      </c>
      <c r="G194" s="20" t="n">
        <v>1800</v>
      </c>
      <c r="H194" s="21" t="n">
        <f aca="false">F194*G194</f>
        <v>10238400</v>
      </c>
      <c r="I194" s="18" t="s">
        <v>541</v>
      </c>
      <c r="J194" s="18" t="s">
        <v>62</v>
      </c>
    </row>
    <row r="195" customFormat="false" ht="15" hidden="false" customHeight="false" outlineLevel="0" collapsed="false">
      <c r="A195" s="18" t="s">
        <v>22</v>
      </c>
      <c r="B195" s="18" t="s">
        <v>5</v>
      </c>
      <c r="C195" s="18" t="s">
        <v>542</v>
      </c>
      <c r="D195" s="18" t="s">
        <v>543</v>
      </c>
      <c r="E195" s="18" t="s">
        <v>82</v>
      </c>
      <c r="F195" s="22" t="n">
        <v>1</v>
      </c>
      <c r="G195" s="20" t="n">
        <v>38000000</v>
      </c>
      <c r="H195" s="21" t="n">
        <f aca="false">F195*G195</f>
        <v>38000000</v>
      </c>
      <c r="I195" s="18" t="s">
        <v>544</v>
      </c>
      <c r="J195" s="18" t="s">
        <v>84</v>
      </c>
    </row>
    <row r="196" customFormat="false" ht="15" hidden="false" customHeight="false" outlineLevel="0" collapsed="false">
      <c r="A196" s="18" t="s">
        <v>22</v>
      </c>
      <c r="B196" s="18" t="s">
        <v>5</v>
      </c>
      <c r="C196" s="18" t="s">
        <v>545</v>
      </c>
      <c r="D196" s="18" t="s">
        <v>546</v>
      </c>
      <c r="E196" s="18" t="s">
        <v>60</v>
      </c>
      <c r="F196" s="19" t="n">
        <f aca="false">Cantidades_Modelo!$C$20</f>
        <v>349027.18</v>
      </c>
      <c r="G196" s="20" t="n">
        <v>320</v>
      </c>
      <c r="H196" s="21" t="n">
        <f aca="false">F196*G196</f>
        <v>111688697.6</v>
      </c>
      <c r="I196" s="18" t="s">
        <v>547</v>
      </c>
      <c r="J196" s="18" t="s">
        <v>62</v>
      </c>
    </row>
    <row r="197" customFormat="false" ht="15" hidden="false" customHeight="false" outlineLevel="0" collapsed="false">
      <c r="A197" s="18" t="s">
        <v>22</v>
      </c>
      <c r="B197" s="18" t="s">
        <v>5</v>
      </c>
      <c r="C197" s="18" t="s">
        <v>548</v>
      </c>
      <c r="D197" s="18" t="s">
        <v>549</v>
      </c>
      <c r="E197" s="18" t="s">
        <v>103</v>
      </c>
      <c r="F197" s="22" t="n">
        <v>5000</v>
      </c>
      <c r="G197" s="20" t="n">
        <v>2800</v>
      </c>
      <c r="H197" s="21" t="n">
        <f aca="false">F197*G197</f>
        <v>14000000</v>
      </c>
      <c r="I197" s="18" t="s">
        <v>550</v>
      </c>
      <c r="J197" s="18" t="s">
        <v>84</v>
      </c>
    </row>
    <row r="198" customFormat="false" ht="15" hidden="false" customHeight="false" outlineLevel="0" collapsed="false">
      <c r="A198" s="16" t="s">
        <v>23</v>
      </c>
      <c r="B198" s="17"/>
      <c r="C198" s="17"/>
      <c r="D198" s="17"/>
      <c r="E198" s="17"/>
      <c r="F198" s="17"/>
      <c r="G198" s="17"/>
      <c r="H198" s="17"/>
      <c r="I198" s="17"/>
      <c r="J198" s="17"/>
    </row>
    <row r="199" customFormat="false" ht="15" hidden="false" customHeight="false" outlineLevel="0" collapsed="false">
      <c r="A199" s="18" t="s">
        <v>23</v>
      </c>
      <c r="B199" s="18" t="s">
        <v>5</v>
      </c>
      <c r="C199" s="18" t="s">
        <v>551</v>
      </c>
      <c r="D199" s="18" t="s">
        <v>552</v>
      </c>
      <c r="E199" s="18" t="s">
        <v>60</v>
      </c>
      <c r="F199" s="19" t="n">
        <f aca="false">Cantidades_Modelo!$C$75</f>
        <v>56018.33</v>
      </c>
      <c r="G199" s="20" t="n">
        <v>1450</v>
      </c>
      <c r="H199" s="21" t="n">
        <f aca="false">F199*G199</f>
        <v>81226578.5</v>
      </c>
      <c r="I199" s="18" t="s">
        <v>553</v>
      </c>
      <c r="J199" s="18" t="s">
        <v>62</v>
      </c>
    </row>
    <row r="200" customFormat="false" ht="15" hidden="false" customHeight="false" outlineLevel="0" collapsed="false">
      <c r="A200" s="18" t="s">
        <v>23</v>
      </c>
      <c r="B200" s="18" t="s">
        <v>5</v>
      </c>
      <c r="C200" s="18" t="s">
        <v>554</v>
      </c>
      <c r="D200" s="18" t="s">
        <v>555</v>
      </c>
      <c r="E200" s="18" t="s">
        <v>60</v>
      </c>
      <c r="F200" s="19" t="n">
        <f aca="false">Cantidades_Modelo!$C$76</f>
        <v>44821.96</v>
      </c>
      <c r="G200" s="20" t="n">
        <v>1650</v>
      </c>
      <c r="H200" s="21" t="n">
        <f aca="false">F200*G200</f>
        <v>73956234</v>
      </c>
      <c r="I200" s="18" t="s">
        <v>556</v>
      </c>
      <c r="J200" s="18" t="s">
        <v>62</v>
      </c>
    </row>
    <row r="201" customFormat="false" ht="15" hidden="false" customHeight="false" outlineLevel="0" collapsed="false">
      <c r="A201" s="18" t="s">
        <v>23</v>
      </c>
      <c r="B201" s="18" t="s">
        <v>5</v>
      </c>
      <c r="C201" s="18" t="s">
        <v>557</v>
      </c>
      <c r="D201" s="18" t="s">
        <v>558</v>
      </c>
      <c r="E201" s="18" t="s">
        <v>60</v>
      </c>
      <c r="F201" s="19" t="n">
        <f aca="false">Cantidades_Modelo!$C$78</f>
        <v>3974.94</v>
      </c>
      <c r="G201" s="20" t="n">
        <v>1300</v>
      </c>
      <c r="H201" s="21" t="n">
        <f aca="false">F201*G201</f>
        <v>5167422</v>
      </c>
      <c r="I201" s="18" t="s">
        <v>559</v>
      </c>
      <c r="J201" s="18" t="s">
        <v>62</v>
      </c>
    </row>
    <row r="202" customFormat="false" ht="15" hidden="false" customHeight="false" outlineLevel="0" collapsed="false">
      <c r="A202" s="18" t="s">
        <v>23</v>
      </c>
      <c r="B202" s="18" t="s">
        <v>5</v>
      </c>
      <c r="C202" s="18" t="s">
        <v>560</v>
      </c>
      <c r="D202" s="18" t="s">
        <v>561</v>
      </c>
      <c r="E202" s="18" t="s">
        <v>60</v>
      </c>
      <c r="F202" s="19" t="n">
        <f aca="false">Cantidades_Modelo!$C$77</f>
        <v>55944.69</v>
      </c>
      <c r="G202" s="20" t="n">
        <v>1250</v>
      </c>
      <c r="H202" s="21" t="n">
        <f aca="false">F202*G202</f>
        <v>69930862.5</v>
      </c>
      <c r="I202" s="18" t="s">
        <v>562</v>
      </c>
      <c r="J202" s="18" t="s">
        <v>62</v>
      </c>
    </row>
    <row r="203" customFormat="false" ht="15" hidden="false" customHeight="false" outlineLevel="0" collapsed="false">
      <c r="A203" s="18" t="s">
        <v>23</v>
      </c>
      <c r="B203" s="18" t="s">
        <v>4</v>
      </c>
      <c r="C203" s="18" t="s">
        <v>563</v>
      </c>
      <c r="D203" s="18" t="s">
        <v>564</v>
      </c>
      <c r="E203" s="18" t="s">
        <v>60</v>
      </c>
      <c r="F203" s="19" t="n">
        <f aca="false">Cantidades_Modelo!$C$27</f>
        <v>41939.34</v>
      </c>
      <c r="G203" s="20" t="n">
        <v>1450</v>
      </c>
      <c r="H203" s="21" t="n">
        <f aca="false">F203*G203</f>
        <v>60812043</v>
      </c>
      <c r="I203" s="18" t="s">
        <v>123</v>
      </c>
      <c r="J203" s="18" t="s">
        <v>62</v>
      </c>
    </row>
    <row r="204" customFormat="false" ht="15" hidden="false" customHeight="false" outlineLevel="0" collapsed="false">
      <c r="A204" s="18" t="s">
        <v>23</v>
      </c>
      <c r="B204" s="18" t="s">
        <v>4</v>
      </c>
      <c r="C204" s="18" t="s">
        <v>565</v>
      </c>
      <c r="D204" s="18" t="s">
        <v>566</v>
      </c>
      <c r="E204" s="18" t="s">
        <v>93</v>
      </c>
      <c r="F204" s="19" t="n">
        <f aca="false">Cantidades_Modelo!$C$27*Supuestos!$C$57</f>
        <v>25163.604</v>
      </c>
      <c r="G204" s="20" t="n">
        <v>950</v>
      </c>
      <c r="H204" s="21" t="n">
        <f aca="false">F204*G204</f>
        <v>23905423.8</v>
      </c>
      <c r="I204" s="18" t="s">
        <v>567</v>
      </c>
      <c r="J204" s="18" t="s">
        <v>62</v>
      </c>
    </row>
    <row r="205" customFormat="false" ht="15" hidden="false" customHeight="false" outlineLevel="0" collapsed="false">
      <c r="A205" s="18" t="s">
        <v>23</v>
      </c>
      <c r="B205" s="18" t="s">
        <v>4</v>
      </c>
      <c r="C205" s="18" t="s">
        <v>568</v>
      </c>
      <c r="D205" s="18" t="s">
        <v>569</v>
      </c>
      <c r="E205" s="18" t="s">
        <v>60</v>
      </c>
      <c r="F205" s="19" t="n">
        <f aca="false">Cantidades_Modelo!$C$27</f>
        <v>41939.34</v>
      </c>
      <c r="G205" s="20" t="n">
        <v>260</v>
      </c>
      <c r="H205" s="21" t="n">
        <f aca="false">F205*G205</f>
        <v>10904228.4</v>
      </c>
      <c r="I205" s="18" t="s">
        <v>570</v>
      </c>
      <c r="J205" s="18" t="s">
        <v>62</v>
      </c>
    </row>
    <row r="206" customFormat="false" ht="15" hidden="false" customHeight="false" outlineLevel="0" collapsed="false">
      <c r="A206" s="18" t="s">
        <v>23</v>
      </c>
      <c r="B206" s="18" t="s">
        <v>4</v>
      </c>
      <c r="C206" s="18" t="s">
        <v>571</v>
      </c>
      <c r="D206" s="18" t="s">
        <v>572</v>
      </c>
      <c r="E206" s="18" t="s">
        <v>60</v>
      </c>
      <c r="F206" s="19" t="n">
        <f aca="false">Cantidades_Modelo!$C$80+Cantidades_Modelo!$C$81</f>
        <v>11464.52</v>
      </c>
      <c r="G206" s="20" t="n">
        <v>1500</v>
      </c>
      <c r="H206" s="21" t="n">
        <f aca="false">F206*G206</f>
        <v>17196780</v>
      </c>
      <c r="I206" s="18" t="s">
        <v>573</v>
      </c>
      <c r="J206" s="18" t="s">
        <v>62</v>
      </c>
    </row>
    <row r="207" customFormat="false" ht="15" hidden="false" customHeight="false" outlineLevel="0" collapsed="false">
      <c r="A207" s="18" t="s">
        <v>23</v>
      </c>
      <c r="B207" s="18" t="s">
        <v>5</v>
      </c>
      <c r="C207" s="18" t="s">
        <v>574</v>
      </c>
      <c r="D207" s="18" t="s">
        <v>575</v>
      </c>
      <c r="E207" s="18" t="s">
        <v>103</v>
      </c>
      <c r="F207" s="19" t="n">
        <f aca="false">Cantidades_Modelo!$C$82</f>
        <v>1261</v>
      </c>
      <c r="G207" s="20" t="n">
        <v>28000</v>
      </c>
      <c r="H207" s="21" t="n">
        <f aca="false">F207*G207</f>
        <v>35308000</v>
      </c>
      <c r="I207" s="18" t="s">
        <v>576</v>
      </c>
      <c r="J207" s="18" t="s">
        <v>62</v>
      </c>
    </row>
    <row r="208" customFormat="false" ht="15" hidden="false" customHeight="false" outlineLevel="0" collapsed="false">
      <c r="A208" s="18" t="s">
        <v>23</v>
      </c>
      <c r="B208" s="18" t="s">
        <v>5</v>
      </c>
      <c r="C208" s="18" t="s">
        <v>577</v>
      </c>
      <c r="D208" s="18" t="s">
        <v>578</v>
      </c>
      <c r="E208" s="18" t="s">
        <v>82</v>
      </c>
      <c r="F208" s="22" t="n">
        <v>1</v>
      </c>
      <c r="G208" s="20" t="n">
        <v>65000000</v>
      </c>
      <c r="H208" s="21" t="n">
        <f aca="false">F208*G208</f>
        <v>65000000</v>
      </c>
      <c r="I208" s="18" t="s">
        <v>579</v>
      </c>
      <c r="J208" s="18" t="s">
        <v>84</v>
      </c>
    </row>
    <row r="209" customFormat="false" ht="15" hidden="false" customHeight="false" outlineLevel="0" collapsed="false">
      <c r="A209" s="18" t="s">
        <v>23</v>
      </c>
      <c r="B209" s="18" t="s">
        <v>5</v>
      </c>
      <c r="C209" s="18" t="s">
        <v>580</v>
      </c>
      <c r="D209" s="18" t="s">
        <v>581</v>
      </c>
      <c r="E209" s="18" t="s">
        <v>82</v>
      </c>
      <c r="F209" s="22" t="n">
        <v>1</v>
      </c>
      <c r="G209" s="20" t="n">
        <v>48000000</v>
      </c>
      <c r="H209" s="21" t="n">
        <f aca="false">F209*G209</f>
        <v>48000000</v>
      </c>
      <c r="I209" s="18" t="s">
        <v>582</v>
      </c>
      <c r="J209" s="18" t="s">
        <v>84</v>
      </c>
    </row>
    <row r="210" customFormat="false" ht="15" hidden="false" customHeight="false" outlineLevel="0" collapsed="false">
      <c r="A210" s="16" t="s">
        <v>24</v>
      </c>
      <c r="B210" s="17"/>
      <c r="C210" s="17"/>
      <c r="D210" s="17"/>
      <c r="E210" s="17"/>
      <c r="F210" s="17"/>
      <c r="G210" s="17"/>
      <c r="H210" s="17"/>
      <c r="I210" s="17"/>
      <c r="J210" s="17"/>
    </row>
    <row r="211" customFormat="false" ht="15" hidden="false" customHeight="false" outlineLevel="0" collapsed="false">
      <c r="A211" s="18" t="s">
        <v>24</v>
      </c>
      <c r="B211" s="18" t="s">
        <v>5</v>
      </c>
      <c r="C211" s="18" t="s">
        <v>583</v>
      </c>
      <c r="D211" s="18" t="s">
        <v>584</v>
      </c>
      <c r="E211" s="18" t="s">
        <v>116</v>
      </c>
      <c r="F211" s="19" t="n">
        <f aca="false">($F$33+$F$37+$F$40+$F$43+$F$49+$F$62+$F$65+$F$68+$F$52)*Supuestos!$C$45*Supuestos!$C$58</f>
        <v>58015.946205</v>
      </c>
      <c r="G211" s="20" t="n">
        <v>42</v>
      </c>
      <c r="H211" s="21" t="n">
        <f aca="false">F211*G211</f>
        <v>2436669.74061</v>
      </c>
      <c r="I211" s="18" t="s">
        <v>585</v>
      </c>
      <c r="J211" s="18" t="s">
        <v>62</v>
      </c>
    </row>
    <row r="212" customFormat="false" ht="15" hidden="false" customHeight="false" outlineLevel="0" collapsed="false">
      <c r="A212" s="18" t="s">
        <v>24</v>
      </c>
      <c r="B212" s="18" t="s">
        <v>5</v>
      </c>
      <c r="C212" s="18" t="s">
        <v>586</v>
      </c>
      <c r="D212" s="18" t="s">
        <v>587</v>
      </c>
      <c r="E212" s="18" t="s">
        <v>116</v>
      </c>
      <c r="F212" s="19" t="n">
        <f aca="false">($F$23+$F$32+$F$35+$F$39+$F$42+$F$47+$F$51+$F$60+$F$64+$F$67+$F$53+$F$54)/1000*Supuestos!$C$59</f>
        <v>1188885.38295</v>
      </c>
      <c r="G212" s="20" t="n">
        <v>38</v>
      </c>
      <c r="H212" s="21" t="n">
        <f aca="false">F212*G212</f>
        <v>45177644.5521</v>
      </c>
      <c r="I212" s="18" t="s">
        <v>588</v>
      </c>
      <c r="J212" s="18" t="s">
        <v>62</v>
      </c>
    </row>
    <row r="213" customFormat="false" ht="15" hidden="false" customHeight="false" outlineLevel="0" collapsed="false">
      <c r="A213" s="18" t="s">
        <v>24</v>
      </c>
      <c r="B213" s="18" t="s">
        <v>5</v>
      </c>
      <c r="C213" s="18" t="s">
        <v>589</v>
      </c>
      <c r="D213" s="18" t="s">
        <v>590</v>
      </c>
      <c r="E213" s="18" t="s">
        <v>103</v>
      </c>
      <c r="F213" s="19" t="n">
        <f aca="false">(Cantidades_Modelo!$C$12+Cantidades_Modelo!$C$13+Cantidades_Modelo!$C$14+Cantidades_Modelo!$C$15+Cantidades_Modelo!$C$18+Cantidades_Modelo!$C$19+Cantidades_Modelo!$C$26+Cantidades_Modelo!$C$27+Cantidades_Modelo!$C$5)*Supuestos!$C$60</f>
        <v>4520511.08</v>
      </c>
      <c r="G213" s="20" t="n">
        <v>4.5</v>
      </c>
      <c r="H213" s="21" t="n">
        <f aca="false">F213*G213</f>
        <v>20342299.86</v>
      </c>
      <c r="I213" s="18" t="s">
        <v>591</v>
      </c>
      <c r="J213" s="18" t="s">
        <v>62</v>
      </c>
    </row>
    <row r="214" customFormat="false" ht="15" hidden="false" customHeight="false" outlineLevel="0" collapsed="false">
      <c r="A214" s="18" t="s">
        <v>24</v>
      </c>
      <c r="B214" s="18" t="s">
        <v>5</v>
      </c>
      <c r="C214" s="18" t="s">
        <v>592</v>
      </c>
      <c r="D214" s="18" t="s">
        <v>593</v>
      </c>
      <c r="E214" s="18" t="s">
        <v>594</v>
      </c>
      <c r="F214" s="19" t="n">
        <f aca="false">($F$33+$F$37+$F$40+$F$43+$F$49+$F$62+$F$65+$F$68+$F$52)*Supuestos!$C$61</f>
        <v>128924.3249</v>
      </c>
      <c r="G214" s="20" t="n">
        <v>55</v>
      </c>
      <c r="H214" s="21" t="n">
        <f aca="false">F214*G214</f>
        <v>7090837.8695</v>
      </c>
      <c r="I214" s="18" t="s">
        <v>595</v>
      </c>
      <c r="J214" s="18" t="s">
        <v>62</v>
      </c>
    </row>
    <row r="215" customFormat="false" ht="15" hidden="false" customHeight="false" outlineLevel="0" collapsed="false">
      <c r="A215" s="18" t="s">
        <v>24</v>
      </c>
      <c r="B215" s="18" t="s">
        <v>5</v>
      </c>
      <c r="C215" s="18" t="s">
        <v>596</v>
      </c>
      <c r="D215" s="18" t="s">
        <v>597</v>
      </c>
      <c r="E215" s="18" t="s">
        <v>60</v>
      </c>
      <c r="F215" s="19" t="n">
        <f aca="false">($F$33+$F$37+$F$40+$F$43+$F$49+$F$62+$F$65+$F$68+$F$52)*Supuestos!$C$45/6</f>
        <v>80577.7030625</v>
      </c>
      <c r="G215" s="20" t="n">
        <v>420</v>
      </c>
      <c r="H215" s="21" t="n">
        <f aca="false">F215*G215</f>
        <v>33842635.28625</v>
      </c>
      <c r="I215" s="18" t="s">
        <v>598</v>
      </c>
      <c r="J215" s="18" t="s">
        <v>62</v>
      </c>
    </row>
    <row r="216" customFormat="false" ht="15" hidden="false" customHeight="false" outlineLevel="0" collapsed="false">
      <c r="A216" s="18" t="s">
        <v>24</v>
      </c>
      <c r="B216" s="18" t="s">
        <v>5</v>
      </c>
      <c r="C216" s="18" t="s">
        <v>599</v>
      </c>
      <c r="D216" s="18" t="s">
        <v>600</v>
      </c>
      <c r="E216" s="18" t="s">
        <v>594</v>
      </c>
      <c r="F216" s="19" t="n">
        <f aca="false">(Cantidades_Modelo!$C$12+Cantidades_Modelo!$C$13+Cantidades_Modelo!$C$14+Cantidades_Modelo!$C$15+Cantidades_Modelo!$C$18+Cantidades_Modelo!$C$19+Cantidades_Modelo!$C$26+Cantidades_Modelo!$C$27+Cantidades_Modelo!$C$11)*Supuestos!$C$62</f>
        <v>200341.566</v>
      </c>
      <c r="G216" s="20" t="n">
        <v>48</v>
      </c>
      <c r="H216" s="21" t="n">
        <f aca="false">F216*G216</f>
        <v>9616395.168</v>
      </c>
      <c r="I216" s="18" t="s">
        <v>601</v>
      </c>
      <c r="J216" s="18" t="s">
        <v>62</v>
      </c>
    </row>
    <row r="217" customFormat="false" ht="15" hidden="false" customHeight="false" outlineLevel="0" collapsed="false">
      <c r="A217" s="18" t="s">
        <v>24</v>
      </c>
      <c r="B217" s="18" t="s">
        <v>5</v>
      </c>
      <c r="C217" s="18" t="s">
        <v>602</v>
      </c>
      <c r="D217" s="18" t="s">
        <v>603</v>
      </c>
      <c r="E217" s="18" t="s">
        <v>594</v>
      </c>
      <c r="F217" s="19" t="n">
        <f aca="false">($F$22+$F$29+$F$30+$F$31+$F$34+$F$38+$F$41+$F$44+$F$45+$F$46+$F$50+$F$58+$F$59+$F$63+$F$66+$F$69+$F$55+$F$56)*Supuestos!$C$63</f>
        <v>2785127.6252</v>
      </c>
      <c r="G217" s="20" t="n">
        <v>62</v>
      </c>
      <c r="H217" s="21" t="n">
        <f aca="false">F217*G217</f>
        <v>172677912.7624</v>
      </c>
      <c r="I217" s="18" t="s">
        <v>604</v>
      </c>
      <c r="J217" s="18" t="s">
        <v>62</v>
      </c>
    </row>
    <row r="218" customFormat="false" ht="15" hidden="false" customHeight="false" outlineLevel="0" collapsed="false">
      <c r="A218" s="18" t="s">
        <v>24</v>
      </c>
      <c r="B218" s="18" t="s">
        <v>5</v>
      </c>
      <c r="C218" s="18" t="s">
        <v>605</v>
      </c>
      <c r="D218" s="18" t="s">
        <v>606</v>
      </c>
      <c r="E218" s="18" t="s">
        <v>116</v>
      </c>
      <c r="F218" s="19" t="n">
        <f aca="false">($F$73+$F$76+$F$78+$F$79+$F$80+$F$81+$F$82+$F$83+$F$84+$F$86+$F$91+$F$93)*Supuestos!$C$64</f>
        <v>521490.5350625</v>
      </c>
      <c r="G218" s="20" t="n">
        <v>85</v>
      </c>
      <c r="H218" s="21" t="n">
        <f aca="false">F218*G218</f>
        <v>44326695.4803125</v>
      </c>
      <c r="I218" s="18" t="s">
        <v>607</v>
      </c>
      <c r="J218" s="18" t="s">
        <v>62</v>
      </c>
    </row>
    <row r="219" customFormat="false" ht="15" hidden="false" customHeight="false" outlineLevel="0" collapsed="false">
      <c r="A219" s="18" t="s">
        <v>24</v>
      </c>
      <c r="B219" s="18" t="s">
        <v>5</v>
      </c>
      <c r="C219" s="18" t="s">
        <v>608</v>
      </c>
      <c r="D219" s="18" t="s">
        <v>609</v>
      </c>
      <c r="E219" s="18" t="s">
        <v>116</v>
      </c>
      <c r="F219" s="19" t="n">
        <f aca="false">($F$73+$F$76+$F$78+$F$79+$F$80+$F$81+$F$82+$F$83+$F$84+$F$86+$F$91+$F$93)*Supuestos!$C$65</f>
        <v>312894.3210375</v>
      </c>
      <c r="G219" s="20" t="n">
        <v>95</v>
      </c>
      <c r="H219" s="21" t="n">
        <f aca="false">F219*G219</f>
        <v>29724960.4985625</v>
      </c>
      <c r="I219" s="18" t="s">
        <v>610</v>
      </c>
      <c r="J219" s="18" t="s">
        <v>62</v>
      </c>
    </row>
    <row r="220" customFormat="false" ht="15" hidden="false" customHeight="false" outlineLevel="0" collapsed="false">
      <c r="A220" s="18" t="s">
        <v>24</v>
      </c>
      <c r="B220" s="18" t="s">
        <v>5</v>
      </c>
      <c r="C220" s="18" t="s">
        <v>611</v>
      </c>
      <c r="D220" s="18" t="s">
        <v>612</v>
      </c>
      <c r="E220" s="18" t="s">
        <v>60</v>
      </c>
      <c r="F220" s="19" t="n">
        <f aca="false">($F$73+$F$76+$F$78+$F$79+$F$80+$F$81+$F$82+$F$83+$F$84+$F$86+$F$91+$F$93)/1000*Supuestos!$C$66</f>
        <v>458911.670855</v>
      </c>
      <c r="G220" s="20" t="n">
        <v>220</v>
      </c>
      <c r="H220" s="21" t="n">
        <f aca="false">F220*G220</f>
        <v>100960567.5881</v>
      </c>
      <c r="I220" s="18" t="s">
        <v>613</v>
      </c>
      <c r="J220" s="18" t="s">
        <v>62</v>
      </c>
    </row>
    <row r="221" customFormat="false" ht="15" hidden="false" customHeight="false" outlineLevel="0" collapsed="false">
      <c r="A221" s="18" t="s">
        <v>24</v>
      </c>
      <c r="B221" s="18" t="s">
        <v>5</v>
      </c>
      <c r="C221" s="18" t="s">
        <v>614</v>
      </c>
      <c r="D221" s="18" t="s">
        <v>615</v>
      </c>
      <c r="E221" s="18" t="s">
        <v>60</v>
      </c>
      <c r="F221" s="19" t="n">
        <f aca="false">($F$73+$F$76+$F$78+$F$79+$F$80+$F$81+$F$82+$F$83+$F$84+$F$86+$F$91+$F$93)/1000*Supuestos!$C$66*Supuestos!$C$67</f>
        <v>275347.002513</v>
      </c>
      <c r="G221" s="20" t="n">
        <v>680</v>
      </c>
      <c r="H221" s="21" t="n">
        <f aca="false">F221*G221</f>
        <v>187235961.70884</v>
      </c>
      <c r="I221" s="18" t="s">
        <v>616</v>
      </c>
      <c r="J221" s="18" t="s">
        <v>62</v>
      </c>
    </row>
    <row r="222" customFormat="false" ht="15" hidden="false" customHeight="false" outlineLevel="0" collapsed="false">
      <c r="A222" s="18" t="s">
        <v>24</v>
      </c>
      <c r="B222" s="18" t="s">
        <v>5</v>
      </c>
      <c r="C222" s="18" t="s">
        <v>617</v>
      </c>
      <c r="D222" s="18" t="s">
        <v>618</v>
      </c>
      <c r="E222" s="18" t="s">
        <v>103</v>
      </c>
      <c r="F222" s="19" t="n">
        <f aca="false">($F$73+$F$76+$F$78+$F$79+$F$80+$F$81+$F$82+$F$83+$F$84+$F$86+$F$91+$F$93)/1000*Supuestos!$C$70</f>
        <v>10429.81070125</v>
      </c>
      <c r="G222" s="20" t="n">
        <v>75</v>
      </c>
      <c r="H222" s="21" t="n">
        <f aca="false">F222*G222</f>
        <v>782235.80259375</v>
      </c>
      <c r="I222" s="18" t="s">
        <v>619</v>
      </c>
      <c r="J222" s="18" t="s">
        <v>62</v>
      </c>
    </row>
    <row r="223" customFormat="false" ht="15" hidden="false" customHeight="false" outlineLevel="0" collapsed="false">
      <c r="A223" s="18" t="s">
        <v>24</v>
      </c>
      <c r="B223" s="18" t="s">
        <v>5</v>
      </c>
      <c r="C223" s="18" t="s">
        <v>620</v>
      </c>
      <c r="D223" s="18" t="s">
        <v>621</v>
      </c>
      <c r="E223" s="18" t="s">
        <v>65</v>
      </c>
      <c r="F223" s="19" t="n">
        <f aca="false">($F$98+$F$102+$F$103+$F$104+$F$105)*Supuestos!$C$68</f>
        <v>53190</v>
      </c>
      <c r="G223" s="20" t="n">
        <v>120</v>
      </c>
      <c r="H223" s="21" t="n">
        <f aca="false">F223*G223</f>
        <v>6382800</v>
      </c>
      <c r="I223" s="18" t="s">
        <v>622</v>
      </c>
      <c r="J223" s="18" t="s">
        <v>62</v>
      </c>
    </row>
    <row r="224" customFormat="false" ht="15" hidden="false" customHeight="false" outlineLevel="0" collapsed="false">
      <c r="A224" s="18" t="s">
        <v>24</v>
      </c>
      <c r="B224" s="18" t="s">
        <v>5</v>
      </c>
      <c r="C224" s="18" t="s">
        <v>623</v>
      </c>
      <c r="D224" s="18" t="s">
        <v>624</v>
      </c>
      <c r="E224" s="18" t="s">
        <v>103</v>
      </c>
      <c r="F224" s="19" t="n">
        <f aca="false">($F$98+$F$102+$F$103+$F$104+$F$105)*Supuestos!$C$69</f>
        <v>248220</v>
      </c>
      <c r="G224" s="20" t="n">
        <v>160</v>
      </c>
      <c r="H224" s="21" t="n">
        <f aca="false">F224*G224</f>
        <v>39715200</v>
      </c>
      <c r="I224" s="18" t="s">
        <v>625</v>
      </c>
      <c r="J224" s="18" t="s">
        <v>62</v>
      </c>
    </row>
    <row r="225" customFormat="false" ht="15" hidden="false" customHeight="false" outlineLevel="0" collapsed="false">
      <c r="A225" s="18" t="s">
        <v>24</v>
      </c>
      <c r="B225" s="18" t="s">
        <v>5</v>
      </c>
      <c r="C225" s="18" t="s">
        <v>626</v>
      </c>
      <c r="D225" s="18" t="s">
        <v>627</v>
      </c>
      <c r="E225" s="18" t="s">
        <v>82</v>
      </c>
      <c r="F225" s="22" t="n">
        <v>1</v>
      </c>
      <c r="G225" s="20" t="n">
        <v>85000000</v>
      </c>
      <c r="H225" s="21" t="n">
        <f aca="false">F225*G225</f>
        <v>85000000</v>
      </c>
      <c r="I225" s="18" t="s">
        <v>628</v>
      </c>
      <c r="J225" s="18" t="s">
        <v>84</v>
      </c>
    </row>
    <row r="226" customFormat="false" ht="15" hidden="false" customHeight="false" outlineLevel="0" collapsed="false">
      <c r="A226" s="18" t="s">
        <v>24</v>
      </c>
      <c r="B226" s="18" t="s">
        <v>5</v>
      </c>
      <c r="C226" s="18" t="s">
        <v>629</v>
      </c>
      <c r="D226" s="18" t="s">
        <v>630</v>
      </c>
      <c r="E226" s="18" t="s">
        <v>82</v>
      </c>
      <c r="F226" s="22" t="n">
        <v>1</v>
      </c>
      <c r="G226" s="20" t="n">
        <v>120000000</v>
      </c>
      <c r="H226" s="21" t="n">
        <f aca="false">F226*G226</f>
        <v>120000000</v>
      </c>
      <c r="I226" s="18" t="s">
        <v>631</v>
      </c>
      <c r="J226" s="18" t="s">
        <v>84</v>
      </c>
    </row>
    <row r="227" customFormat="false" ht="15" hidden="false" customHeight="false" outlineLevel="0" collapsed="false">
      <c r="A227" s="16" t="s">
        <v>25</v>
      </c>
      <c r="B227" s="17"/>
      <c r="C227" s="17"/>
      <c r="D227" s="17"/>
      <c r="E227" s="17"/>
      <c r="F227" s="17"/>
      <c r="G227" s="17"/>
      <c r="H227" s="17"/>
      <c r="I227" s="17"/>
      <c r="J227" s="17"/>
    </row>
    <row r="228" customFormat="false" ht="15" hidden="false" customHeight="false" outlineLevel="0" collapsed="false">
      <c r="A228" s="18" t="s">
        <v>25</v>
      </c>
      <c r="B228" s="18" t="s">
        <v>5</v>
      </c>
      <c r="C228" s="18" t="s">
        <v>632</v>
      </c>
      <c r="D228" s="18" t="s">
        <v>633</v>
      </c>
      <c r="E228" s="18" t="s">
        <v>69</v>
      </c>
      <c r="F228" s="19" t="n">
        <f aca="false">Supuestos!$C$12</f>
        <v>48</v>
      </c>
      <c r="G228" s="20" t="n">
        <v>1800000</v>
      </c>
      <c r="H228" s="21" t="n">
        <f aca="false">F228*G228</f>
        <v>86400000</v>
      </c>
      <c r="I228" s="18" t="s">
        <v>634</v>
      </c>
      <c r="J228" s="18" t="s">
        <v>62</v>
      </c>
    </row>
    <row r="229" customFormat="false" ht="15" hidden="false" customHeight="false" outlineLevel="0" collapsed="false">
      <c r="A229" s="18" t="s">
        <v>25</v>
      </c>
      <c r="B229" s="18" t="s">
        <v>5</v>
      </c>
      <c r="C229" s="18" t="s">
        <v>635</v>
      </c>
      <c r="D229" s="18" t="s">
        <v>636</v>
      </c>
      <c r="E229" s="18" t="s">
        <v>82</v>
      </c>
      <c r="F229" s="22" t="n">
        <v>1</v>
      </c>
      <c r="G229" s="20" t="n">
        <v>160000000</v>
      </c>
      <c r="H229" s="21" t="n">
        <f aca="false">F229*G229</f>
        <v>160000000</v>
      </c>
      <c r="I229" s="18" t="s">
        <v>637</v>
      </c>
      <c r="J229" s="18" t="s">
        <v>84</v>
      </c>
    </row>
    <row r="230" customFormat="false" ht="15" hidden="false" customHeight="false" outlineLevel="0" collapsed="false">
      <c r="A230" s="18" t="s">
        <v>25</v>
      </c>
      <c r="B230" s="18" t="s">
        <v>5</v>
      </c>
      <c r="C230" s="18" t="s">
        <v>638</v>
      </c>
      <c r="D230" s="18" t="s">
        <v>639</v>
      </c>
      <c r="E230" s="18" t="s">
        <v>82</v>
      </c>
      <c r="F230" s="22" t="n">
        <v>1</v>
      </c>
      <c r="G230" s="20" t="n">
        <v>28000000</v>
      </c>
      <c r="H230" s="21" t="n">
        <f aca="false">F230*G230</f>
        <v>28000000</v>
      </c>
      <c r="I230" s="18" t="s">
        <v>640</v>
      </c>
      <c r="J230" s="18" t="s">
        <v>84</v>
      </c>
    </row>
    <row r="231" customFormat="false" ht="15" hidden="false" customHeight="false" outlineLevel="0" collapsed="false">
      <c r="A231" s="18" t="s">
        <v>25</v>
      </c>
      <c r="B231" s="18" t="s">
        <v>3</v>
      </c>
      <c r="C231" s="18" t="s">
        <v>641</v>
      </c>
      <c r="D231" s="18" t="s">
        <v>642</v>
      </c>
      <c r="E231" s="18" t="s">
        <v>82</v>
      </c>
      <c r="F231" s="22" t="n">
        <v>1</v>
      </c>
      <c r="G231" s="20" t="n">
        <v>22000000</v>
      </c>
      <c r="H231" s="21" t="n">
        <f aca="false">F231*G231</f>
        <v>22000000</v>
      </c>
      <c r="I231" s="18" t="s">
        <v>640</v>
      </c>
      <c r="J231" s="18" t="s">
        <v>84</v>
      </c>
    </row>
    <row r="233" customFormat="false" ht="15" hidden="false" customHeight="false" outlineLevel="0" collapsed="false">
      <c r="D233" s="8" t="s">
        <v>643</v>
      </c>
      <c r="H233" s="9" t="n">
        <f aca="false">SUM(H5:H231)</f>
        <v>37234597028.1846</v>
      </c>
    </row>
  </sheetData>
  <autoFilter ref="A4:J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5" t="s">
        <v>644</v>
      </c>
    </row>
    <row r="3" customFormat="false" ht="15" hidden="false" customHeight="false" outlineLevel="0" collapsed="false">
      <c r="A3" s="3" t="s">
        <v>56</v>
      </c>
      <c r="B3" s="3" t="s">
        <v>52</v>
      </c>
      <c r="C3" s="3" t="s">
        <v>53</v>
      </c>
      <c r="D3" s="3" t="s">
        <v>55</v>
      </c>
      <c r="E3" s="3" t="s">
        <v>645</v>
      </c>
    </row>
    <row r="4" customFormat="false" ht="15" hidden="false" customHeight="false" outlineLevel="0" collapsed="false">
      <c r="A4" s="4" t="s">
        <v>353</v>
      </c>
      <c r="B4" s="4" t="s">
        <v>60</v>
      </c>
      <c r="C4" s="23" t="n">
        <f aca="false">SUMIFS(Presupuesto!$F$5:$F$231,Presupuesto!$I$5:$I$231,$A4,Presupuesto!$E$5:$E$231,$B4)</f>
        <v>4773.168</v>
      </c>
      <c r="D4" s="5" t="n">
        <f aca="false">SUMIFS(Presupuesto!$H$5:$H$231,Presupuesto!$I$5:$I$231,$A4,Presupuesto!$E$5:$E$231,$B4)</f>
        <v>124102368</v>
      </c>
      <c r="E4" s="24" t="n">
        <f aca="false">COUNTIFS(Presupuesto!$I$5:$I$231,$A4,Presupuesto!$E$5:$E$231,$B4)</f>
        <v>1</v>
      </c>
    </row>
    <row r="5" customFormat="false" ht="15" hidden="false" customHeight="false" outlineLevel="0" collapsed="false">
      <c r="A5" s="4" t="s">
        <v>347</v>
      </c>
      <c r="B5" s="4" t="s">
        <v>103</v>
      </c>
      <c r="C5" s="23" t="n">
        <f aca="false">SUMIFS(Presupuesto!$F$5:$F$231,Presupuesto!$I$5:$I$231,$A5,Presupuesto!$E$5:$E$231,$B5)</f>
        <v>24</v>
      </c>
      <c r="D5" s="5" t="n">
        <f aca="false">SUMIFS(Presupuesto!$H$5:$H$231,Presupuesto!$I$5:$I$231,$A5,Presupuesto!$E$5:$E$231,$B5)</f>
        <v>62400000</v>
      </c>
      <c r="E5" s="24" t="n">
        <f aca="false">COUNTIFS(Presupuesto!$I$5:$I$231,$A5,Presupuesto!$E$5:$E$231,$B5)</f>
        <v>1</v>
      </c>
    </row>
    <row r="6" customFormat="false" ht="15" hidden="false" customHeight="false" outlineLevel="0" collapsed="false">
      <c r="A6" s="4" t="s">
        <v>350</v>
      </c>
      <c r="B6" s="4" t="s">
        <v>60</v>
      </c>
      <c r="C6" s="23" t="n">
        <f aca="false">SUMIFS(Presupuesto!$F$5:$F$231,Presupuesto!$I$5:$I$231,$A6,Presupuesto!$E$5:$E$231,$B6)</f>
        <v>4600</v>
      </c>
      <c r="D6" s="5" t="n">
        <f aca="false">SUMIFS(Presupuesto!$H$5:$H$231,Presupuesto!$I$5:$I$231,$A6,Presupuesto!$E$5:$E$231,$B6)</f>
        <v>193200000</v>
      </c>
      <c r="E6" s="24" t="n">
        <f aca="false">COUNTIFS(Presupuesto!$I$5:$I$231,$A6,Presupuesto!$E$5:$E$231,$B6)</f>
        <v>1</v>
      </c>
    </row>
    <row r="7" customFormat="false" ht="15" hidden="false" customHeight="false" outlineLevel="0" collapsed="false">
      <c r="A7" s="4" t="s">
        <v>97</v>
      </c>
      <c r="B7" s="4" t="s">
        <v>93</v>
      </c>
      <c r="C7" s="23" t="n">
        <f aca="false">SUMIFS(Presupuesto!$F$5:$F$231,Presupuesto!$I$5:$I$231,$A7,Presupuesto!$E$5:$E$231,$B7)</f>
        <v>3714385.1875</v>
      </c>
      <c r="D7" s="5" t="n">
        <f aca="false">SUMIFS(Presupuesto!$H$5:$H$231,Presupuesto!$I$5:$I$231,$A7,Presupuesto!$E$5:$E$231,$B7)</f>
        <v>538585852.1875</v>
      </c>
      <c r="E7" s="24" t="n">
        <f aca="false">COUNTIFS(Presupuesto!$I$5:$I$231,$A7,Presupuesto!$E$5:$E$231,$B7)</f>
        <v>1</v>
      </c>
    </row>
    <row r="8" customFormat="false" ht="15" hidden="false" customHeight="false" outlineLevel="0" collapsed="false">
      <c r="A8" s="4" t="s">
        <v>229</v>
      </c>
      <c r="B8" s="4" t="s">
        <v>116</v>
      </c>
      <c r="C8" s="23" t="n">
        <f aca="false">SUMIFS(Presupuesto!$F$5:$F$231,Presupuesto!$I$5:$I$231,$A8,Presupuesto!$E$5:$E$231,$B8)</f>
        <v>12755787.9525</v>
      </c>
      <c r="D8" s="5" t="n">
        <f aca="false">SUMIFS(Presupuesto!$H$5:$H$231,Presupuesto!$I$5:$I$231,$A8,Presupuesto!$E$5:$E$231,$B8)</f>
        <v>1478968756.4375</v>
      </c>
      <c r="E8" s="24" t="n">
        <f aca="false">COUNTIFS(Presupuesto!$I$5:$I$231,$A8,Presupuesto!$E$5:$E$231,$B8)</f>
        <v>11</v>
      </c>
    </row>
    <row r="9" customFormat="false" ht="15" hidden="false" customHeight="false" outlineLevel="0" collapsed="false">
      <c r="A9" s="4" t="s">
        <v>257</v>
      </c>
      <c r="B9" s="4" t="s">
        <v>116</v>
      </c>
      <c r="C9" s="23" t="n">
        <f aca="false">SUMIFS(Presupuesto!$F$5:$F$231,Presupuesto!$I$5:$I$231,$A9,Presupuesto!$E$5:$E$231,$B9)</f>
        <v>8103833.45</v>
      </c>
      <c r="D9" s="5" t="n">
        <f aca="false">SUMIFS(Presupuesto!$H$5:$H$231,Presupuesto!$I$5:$I$231,$A9,Presupuesto!$E$5:$E$231,$B9)</f>
        <v>956252347.1</v>
      </c>
      <c r="E9" s="24" t="n">
        <f aca="false">COUNTIFS(Presupuesto!$I$5:$I$231,$A9,Presupuesto!$E$5:$E$231,$B9)</f>
        <v>1</v>
      </c>
    </row>
    <row r="10" customFormat="false" ht="15" hidden="false" customHeight="false" outlineLevel="0" collapsed="false">
      <c r="A10" s="4" t="s">
        <v>281</v>
      </c>
      <c r="B10" s="4" t="s">
        <v>65</v>
      </c>
      <c r="C10" s="23" t="n">
        <f aca="false">SUMIFS(Presupuesto!$F$5:$F$231,Presupuesto!$I$5:$I$231,$A10,Presupuesto!$E$5:$E$231,$B10)</f>
        <v>1591.056</v>
      </c>
      <c r="D10" s="5" t="n">
        <f aca="false">SUMIFS(Presupuesto!$H$5:$H$231,Presupuesto!$I$5:$I$231,$A10,Presupuesto!$E$5:$E$231,$B10)</f>
        <v>15115032</v>
      </c>
      <c r="E10" s="24" t="n">
        <f aca="false">COUNTIFS(Presupuesto!$I$5:$I$231,$A10,Presupuesto!$E$5:$E$231,$B10)</f>
        <v>1</v>
      </c>
    </row>
    <row r="11" customFormat="false" ht="15" hidden="false" customHeight="false" outlineLevel="0" collapsed="false">
      <c r="A11" s="4" t="s">
        <v>604</v>
      </c>
      <c r="B11" s="4" t="s">
        <v>594</v>
      </c>
      <c r="C11" s="23" t="n">
        <f aca="false">SUMIFS(Presupuesto!$F$5:$F$231,Presupuesto!$I$5:$I$231,$A11,Presupuesto!$E$5:$E$231,$B11)</f>
        <v>2785127.6252</v>
      </c>
      <c r="D11" s="5" t="n">
        <f aca="false">SUMIFS(Presupuesto!$H$5:$H$231,Presupuesto!$I$5:$I$231,$A11,Presupuesto!$E$5:$E$231,$B11)</f>
        <v>172677912.7624</v>
      </c>
      <c r="E11" s="24" t="n">
        <f aca="false">COUNTIFS(Presupuesto!$I$5:$I$231,$A11,Presupuesto!$E$5:$E$231,$B11)</f>
        <v>1</v>
      </c>
    </row>
    <row r="12" customFormat="false" ht="15" hidden="false" customHeight="false" outlineLevel="0" collapsed="false">
      <c r="A12" s="4" t="s">
        <v>223</v>
      </c>
      <c r="B12" s="4" t="s">
        <v>103</v>
      </c>
      <c r="C12" s="23" t="n">
        <f aca="false">SUMIFS(Presupuesto!$F$5:$F$231,Presupuesto!$I$5:$I$231,$A12,Presupuesto!$E$5:$E$231,$B12)</f>
        <v>420</v>
      </c>
      <c r="D12" s="5" t="n">
        <f aca="false">SUMIFS(Presupuesto!$H$5:$H$231,Presupuesto!$I$5:$I$231,$A12,Presupuesto!$E$5:$E$231,$B12)</f>
        <v>399000000</v>
      </c>
      <c r="E12" s="24" t="n">
        <f aca="false">COUNTIFS(Presupuesto!$I$5:$I$231,$A12,Presupuesto!$E$5:$E$231,$B12)</f>
        <v>1</v>
      </c>
    </row>
    <row r="13" customFormat="false" ht="15" hidden="false" customHeight="false" outlineLevel="0" collapsed="false">
      <c r="A13" s="4" t="s">
        <v>588</v>
      </c>
      <c r="B13" s="4" t="s">
        <v>116</v>
      </c>
      <c r="C13" s="23" t="n">
        <f aca="false">SUMIFS(Presupuesto!$F$5:$F$231,Presupuesto!$I$5:$I$231,$A13,Presupuesto!$E$5:$E$231,$B13)</f>
        <v>1188885.38295</v>
      </c>
      <c r="D13" s="5" t="n">
        <f aca="false">SUMIFS(Presupuesto!$H$5:$H$231,Presupuesto!$I$5:$I$231,$A13,Presupuesto!$E$5:$E$231,$B13)</f>
        <v>45177644.5521</v>
      </c>
      <c r="E13" s="24" t="n">
        <f aca="false">COUNTIFS(Presupuesto!$I$5:$I$231,$A13,Presupuesto!$E$5:$E$231,$B13)</f>
        <v>1</v>
      </c>
    </row>
    <row r="14" customFormat="false" ht="15" hidden="false" customHeight="false" outlineLevel="0" collapsed="false">
      <c r="A14" s="4" t="s">
        <v>625</v>
      </c>
      <c r="B14" s="4" t="s">
        <v>103</v>
      </c>
      <c r="C14" s="23" t="n">
        <f aca="false">SUMIFS(Presupuesto!$F$5:$F$231,Presupuesto!$I$5:$I$231,$A14,Presupuesto!$E$5:$E$231,$B14)</f>
        <v>248220</v>
      </c>
      <c r="D14" s="5" t="n">
        <f aca="false">SUMIFS(Presupuesto!$H$5:$H$231,Presupuesto!$I$5:$I$231,$A14,Presupuesto!$E$5:$E$231,$B14)</f>
        <v>39715200</v>
      </c>
      <c r="E14" s="24" t="n">
        <f aca="false">COUNTIFS(Presupuesto!$I$5:$I$231,$A14,Presupuesto!$E$5:$E$231,$B14)</f>
        <v>1</v>
      </c>
    </row>
    <row r="15" customFormat="false" ht="15" hidden="false" customHeight="false" outlineLevel="0" collapsed="false">
      <c r="A15" s="4" t="s">
        <v>329</v>
      </c>
      <c r="B15" s="4" t="s">
        <v>103</v>
      </c>
      <c r="C15" s="23" t="n">
        <f aca="false">SUMIFS(Presupuesto!$F$5:$F$231,Presupuesto!$I$5:$I$231,$A15,Presupuesto!$E$5:$E$231,$B15)</f>
        <v>1021</v>
      </c>
      <c r="D15" s="5" t="n">
        <f aca="false">SUMIFS(Presupuesto!$H$5:$H$231,Presupuesto!$I$5:$I$231,$A15,Presupuesto!$E$5:$E$231,$B15)</f>
        <v>9699500</v>
      </c>
      <c r="E15" s="24" t="n">
        <f aca="false">COUNTIFS(Presupuesto!$I$5:$I$231,$A15,Presupuesto!$E$5:$E$231,$B15)</f>
        <v>1</v>
      </c>
    </row>
    <row r="16" customFormat="false" ht="15" hidden="false" customHeight="false" outlineLevel="0" collapsed="false">
      <c r="A16" s="4" t="s">
        <v>499</v>
      </c>
      <c r="B16" s="4" t="s">
        <v>82</v>
      </c>
      <c r="C16" s="23" t="n">
        <f aca="false">SUMIFS(Presupuesto!$F$5:$F$231,Presupuesto!$I$5:$I$231,$A16,Presupuesto!$E$5:$E$231,$B16)</f>
        <v>1</v>
      </c>
      <c r="D16" s="5" t="n">
        <f aca="false">SUMIFS(Presupuesto!$H$5:$H$231,Presupuesto!$I$5:$I$231,$A16,Presupuesto!$E$5:$E$231,$B16)</f>
        <v>210000000</v>
      </c>
      <c r="E16" s="24" t="n">
        <f aca="false">COUNTIFS(Presupuesto!$I$5:$I$231,$A16,Presupuesto!$E$5:$E$231,$B16)</f>
        <v>1</v>
      </c>
    </row>
    <row r="17" customFormat="false" ht="15" hidden="false" customHeight="false" outlineLevel="0" collapsed="false">
      <c r="A17" s="4" t="s">
        <v>269</v>
      </c>
      <c r="B17" s="4" t="s">
        <v>60</v>
      </c>
      <c r="C17" s="23" t="n">
        <f aca="false">SUMIFS(Presupuesto!$F$5:$F$231,Presupuesto!$I$5:$I$231,$A17,Presupuesto!$E$5:$E$231,$B17)</f>
        <v>1861.514</v>
      </c>
      <c r="D17" s="5" t="n">
        <f aca="false">SUMIFS(Presupuesto!$H$5:$H$231,Presupuesto!$I$5:$I$231,$A17,Presupuesto!$E$5:$E$231,$B17)</f>
        <v>17684383</v>
      </c>
      <c r="E17" s="24" t="n">
        <f aca="false">COUNTIFS(Presupuesto!$I$5:$I$231,$A17,Presupuesto!$E$5:$E$231,$B17)</f>
        <v>1</v>
      </c>
    </row>
    <row r="18" customFormat="false" ht="15" hidden="false" customHeight="false" outlineLevel="0" collapsed="false">
      <c r="A18" s="4" t="s">
        <v>126</v>
      </c>
      <c r="B18" s="4" t="s">
        <v>65</v>
      </c>
      <c r="C18" s="23" t="n">
        <f aca="false">SUMIFS(Presupuesto!$F$5:$F$231,Presupuesto!$I$5:$I$231,$A18,Presupuesto!$E$5:$E$231,$B18)</f>
        <v>6826.12</v>
      </c>
      <c r="D18" s="5" t="n">
        <f aca="false">SUMIFS(Presupuesto!$H$5:$H$231,Presupuesto!$I$5:$I$231,$A18,Presupuesto!$E$5:$E$231,$B18)</f>
        <v>4436978</v>
      </c>
      <c r="E18" s="24" t="n">
        <f aca="false">COUNTIFS(Presupuesto!$I$5:$I$231,$A18,Presupuesto!$E$5:$E$231,$B18)</f>
        <v>1</v>
      </c>
    </row>
    <row r="19" customFormat="false" ht="15" hidden="false" customHeight="false" outlineLevel="0" collapsed="false">
      <c r="A19" s="4" t="s">
        <v>544</v>
      </c>
      <c r="B19" s="4" t="s">
        <v>82</v>
      </c>
      <c r="C19" s="23" t="n">
        <f aca="false">SUMIFS(Presupuesto!$F$5:$F$231,Presupuesto!$I$5:$I$231,$A19,Presupuesto!$E$5:$E$231,$B19)</f>
        <v>1</v>
      </c>
      <c r="D19" s="5" t="n">
        <f aca="false">SUMIFS(Presupuesto!$H$5:$H$231,Presupuesto!$I$5:$I$231,$A19,Presupuesto!$E$5:$E$231,$B19)</f>
        <v>38000000</v>
      </c>
      <c r="E19" s="24" t="n">
        <f aca="false">COUNTIFS(Presupuesto!$I$5:$I$231,$A19,Presupuesto!$E$5:$E$231,$B19)</f>
        <v>1</v>
      </c>
    </row>
    <row r="20" customFormat="false" ht="15" hidden="false" customHeight="false" outlineLevel="0" collapsed="false">
      <c r="A20" s="4" t="s">
        <v>423</v>
      </c>
      <c r="B20" s="4" t="s">
        <v>422</v>
      </c>
      <c r="C20" s="23" t="n">
        <f aca="false">SUMIFS(Presupuesto!$F$5:$F$231,Presupuesto!$I$5:$I$231,$A20,Presupuesto!$E$5:$E$231,$B20)</f>
        <v>20000</v>
      </c>
      <c r="D20" s="5" t="n">
        <f aca="false">SUMIFS(Presupuesto!$H$5:$H$231,Presupuesto!$I$5:$I$231,$A20,Presupuesto!$E$5:$E$231,$B20)</f>
        <v>148000000</v>
      </c>
      <c r="E20" s="24" t="n">
        <f aca="false">COUNTIFS(Presupuesto!$I$5:$I$231,$A20,Presupuesto!$E$5:$E$231,$B20)</f>
        <v>1</v>
      </c>
    </row>
    <row r="21" customFormat="false" ht="15" hidden="false" customHeight="false" outlineLevel="0" collapsed="false">
      <c r="A21" s="4" t="s">
        <v>326</v>
      </c>
      <c r="B21" s="4" t="s">
        <v>103</v>
      </c>
      <c r="C21" s="23" t="n">
        <f aca="false">SUMIFS(Presupuesto!$F$5:$F$231,Presupuesto!$I$5:$I$231,$A21,Presupuesto!$E$5:$E$231,$B21)</f>
        <v>98247</v>
      </c>
      <c r="D21" s="5" t="n">
        <f aca="false">SUMIFS(Presupuesto!$H$5:$H$231,Presupuesto!$I$5:$I$231,$A21,Presupuesto!$E$5:$E$231,$B21)</f>
        <v>314390400</v>
      </c>
      <c r="E21" s="24" t="n">
        <f aca="false">COUNTIFS(Presupuesto!$I$5:$I$231,$A21,Presupuesto!$E$5:$E$231,$B21)</f>
        <v>1</v>
      </c>
    </row>
    <row r="22" customFormat="false" ht="15" hidden="false" customHeight="false" outlineLevel="0" collapsed="false">
      <c r="A22" s="4" t="s">
        <v>400</v>
      </c>
      <c r="B22" s="4" t="s">
        <v>60</v>
      </c>
      <c r="C22" s="23" t="n">
        <f aca="false">SUMIFS(Presupuesto!$F$5:$F$231,Presupuesto!$I$5:$I$231,$A22,Presupuesto!$E$5:$E$231,$B22)</f>
        <v>559092.04</v>
      </c>
      <c r="D22" s="5" t="n">
        <f aca="false">SUMIFS(Presupuesto!$H$5:$H$231,Presupuesto!$I$5:$I$231,$A22,Presupuesto!$E$5:$E$231,$B22)</f>
        <v>1208694880</v>
      </c>
      <c r="E22" s="24" t="n">
        <f aca="false">COUNTIFS(Presupuesto!$I$5:$I$231,$A22,Presupuesto!$E$5:$E$231,$B22)</f>
        <v>2</v>
      </c>
    </row>
    <row r="23" customFormat="false" ht="15" hidden="false" customHeight="false" outlineLevel="0" collapsed="false">
      <c r="A23" s="4" t="s">
        <v>439</v>
      </c>
      <c r="B23" s="4" t="s">
        <v>82</v>
      </c>
      <c r="C23" s="23" t="n">
        <f aca="false">SUMIFS(Presupuesto!$F$5:$F$231,Presupuesto!$I$5:$I$231,$A23,Presupuesto!$E$5:$E$231,$B23)</f>
        <v>1</v>
      </c>
      <c r="D23" s="5" t="n">
        <f aca="false">SUMIFS(Presupuesto!$H$5:$H$231,Presupuesto!$I$5:$I$231,$A23,Presupuesto!$E$5:$E$231,$B23)</f>
        <v>65000000</v>
      </c>
      <c r="E23" s="24" t="n">
        <f aca="false">COUNTIFS(Presupuesto!$I$5:$I$231,$A23,Presupuesto!$E$5:$E$231,$B23)</f>
        <v>1</v>
      </c>
    </row>
    <row r="24" customFormat="false" ht="15" hidden="false" customHeight="false" outlineLevel="0" collapsed="false">
      <c r="A24" s="4" t="s">
        <v>430</v>
      </c>
      <c r="B24" s="4" t="s">
        <v>103</v>
      </c>
      <c r="C24" s="23" t="n">
        <f aca="false">SUMIFS(Presupuesto!$F$5:$F$231,Presupuesto!$I$5:$I$231,$A24,Presupuesto!$E$5:$E$231,$B24)</f>
        <v>1706</v>
      </c>
      <c r="D24" s="5" t="n">
        <f aca="false">SUMIFS(Presupuesto!$H$5:$H$231,Presupuesto!$I$5:$I$231,$A24,Presupuesto!$E$5:$E$231,$B24)</f>
        <v>116008000</v>
      </c>
      <c r="E24" s="24" t="n">
        <f aca="false">COUNTIFS(Presupuesto!$I$5:$I$231,$A24,Presupuesto!$E$5:$E$231,$B24)</f>
        <v>1</v>
      </c>
    </row>
    <row r="25" customFormat="false" ht="15" hidden="false" customHeight="false" outlineLevel="0" collapsed="false">
      <c r="A25" s="4" t="s">
        <v>457</v>
      </c>
      <c r="B25" s="4" t="s">
        <v>456</v>
      </c>
      <c r="C25" s="23" t="n">
        <f aca="false">SUMIFS(Presupuesto!$F$5:$F$231,Presupuesto!$I$5:$I$231,$A25,Presupuesto!$E$5:$E$231,$B25)</f>
        <v>9000</v>
      </c>
      <c r="D25" s="5" t="n">
        <f aca="false">SUMIFS(Presupuesto!$H$5:$H$231,Presupuesto!$I$5:$I$231,$A25,Presupuesto!$E$5:$E$231,$B25)</f>
        <v>468000000</v>
      </c>
      <c r="E25" s="24" t="n">
        <f aca="false">COUNTIFS(Presupuesto!$I$5:$I$231,$A25,Presupuesto!$E$5:$E$231,$B25)</f>
        <v>1</v>
      </c>
    </row>
    <row r="26" customFormat="false" ht="15" hidden="false" customHeight="false" outlineLevel="0" collapsed="false">
      <c r="A26" s="4" t="s">
        <v>142</v>
      </c>
      <c r="B26" s="4" t="s">
        <v>60</v>
      </c>
      <c r="C26" s="23" t="n">
        <f aca="false">SUMIFS(Presupuesto!$F$5:$F$231,Presupuesto!$I$5:$I$231,$A26,Presupuesto!$E$5:$E$231,$B26)</f>
        <v>1611554.06125</v>
      </c>
      <c r="D26" s="5" t="n">
        <f aca="false">SUMIFS(Presupuesto!$H$5:$H$231,Presupuesto!$I$5:$I$231,$A26,Presupuesto!$E$5:$E$231,$B26)</f>
        <v>861601456.7</v>
      </c>
      <c r="E26" s="24" t="n">
        <f aca="false">COUNTIFS(Presupuesto!$I$5:$I$231,$A26,Presupuesto!$E$5:$E$231,$B26)</f>
        <v>9</v>
      </c>
    </row>
    <row r="27" customFormat="false" ht="15" hidden="false" customHeight="false" outlineLevel="0" collapsed="false">
      <c r="A27" s="4" t="s">
        <v>585</v>
      </c>
      <c r="B27" s="4" t="s">
        <v>116</v>
      </c>
      <c r="C27" s="23" t="n">
        <f aca="false">SUMIFS(Presupuesto!$F$5:$F$231,Presupuesto!$I$5:$I$231,$A27,Presupuesto!$E$5:$E$231,$B27)</f>
        <v>58015.946205</v>
      </c>
      <c r="D27" s="5" t="n">
        <f aca="false">SUMIFS(Presupuesto!$H$5:$H$231,Presupuesto!$I$5:$I$231,$A27,Presupuesto!$E$5:$E$231,$B27)</f>
        <v>2436669.74061</v>
      </c>
      <c r="E27" s="24" t="n">
        <f aca="false">COUNTIFS(Presupuesto!$I$5:$I$231,$A27,Presupuesto!$E$5:$E$231,$B27)</f>
        <v>1</v>
      </c>
    </row>
    <row r="28" customFormat="false" ht="15" hidden="false" customHeight="false" outlineLevel="0" collapsed="false">
      <c r="A28" s="4" t="s">
        <v>559</v>
      </c>
      <c r="B28" s="4" t="s">
        <v>60</v>
      </c>
      <c r="C28" s="23" t="n">
        <f aca="false">SUMIFS(Presupuesto!$F$5:$F$231,Presupuesto!$I$5:$I$231,$A28,Presupuesto!$E$5:$E$231,$B28)</f>
        <v>3974.94</v>
      </c>
      <c r="D28" s="5" t="n">
        <f aca="false">SUMIFS(Presupuesto!$H$5:$H$231,Presupuesto!$I$5:$I$231,$A28,Presupuesto!$E$5:$E$231,$B28)</f>
        <v>5167422</v>
      </c>
      <c r="E28" s="24" t="n">
        <f aca="false">COUNTIFS(Presupuesto!$I$5:$I$231,$A28,Presupuesto!$E$5:$E$231,$B28)</f>
        <v>1</v>
      </c>
    </row>
    <row r="29" customFormat="false" ht="15" hidden="false" customHeight="false" outlineLevel="0" collapsed="false">
      <c r="A29" s="4" t="s">
        <v>110</v>
      </c>
      <c r="B29" s="4" t="s">
        <v>60</v>
      </c>
      <c r="C29" s="23" t="n">
        <f aca="false">SUMIFS(Presupuesto!$F$5:$F$231,Presupuesto!$I$5:$I$231,$A29,Presupuesto!$E$5:$E$231,$B29)</f>
        <v>228577.55</v>
      </c>
      <c r="D29" s="5" t="n">
        <f aca="false">SUMIFS(Presupuesto!$H$5:$H$231,Presupuesto!$I$5:$I$231,$A29,Presupuesto!$E$5:$E$231,$B29)</f>
        <v>43429734.5</v>
      </c>
      <c r="E29" s="24" t="n">
        <f aca="false">COUNTIFS(Presupuesto!$I$5:$I$231,$A29,Presupuesto!$E$5:$E$231,$B29)</f>
        <v>1</v>
      </c>
    </row>
    <row r="30" customFormat="false" ht="15" hidden="false" customHeight="false" outlineLevel="0" collapsed="false">
      <c r="A30" s="4" t="s">
        <v>192</v>
      </c>
      <c r="B30" s="4" t="s">
        <v>93</v>
      </c>
      <c r="C30" s="23" t="n">
        <f aca="false">SUMIFS(Presupuesto!$F$5:$F$231,Presupuesto!$I$5:$I$231,$A30,Presupuesto!$E$5:$E$231,$B30)</f>
        <v>1624</v>
      </c>
      <c r="D30" s="5" t="n">
        <f aca="false">SUMIFS(Presupuesto!$H$5:$H$231,Presupuesto!$I$5:$I$231,$A30,Presupuesto!$E$5:$E$231,$B30)</f>
        <v>6983200</v>
      </c>
      <c r="E30" s="24" t="n">
        <f aca="false">COUNTIFS(Presupuesto!$I$5:$I$231,$A30,Presupuesto!$E$5:$E$231,$B30)</f>
        <v>1</v>
      </c>
    </row>
    <row r="31" customFormat="false" ht="15" hidden="false" customHeight="false" outlineLevel="0" collapsed="false">
      <c r="A31" s="4" t="s">
        <v>107</v>
      </c>
      <c r="B31" s="4" t="s">
        <v>65</v>
      </c>
      <c r="C31" s="23" t="n">
        <f aca="false">SUMIFS(Presupuesto!$F$5:$F$231,Presupuesto!$I$5:$I$231,$A31,Presupuesto!$E$5:$E$231,$B31)</f>
        <v>32275</v>
      </c>
      <c r="D31" s="5" t="n">
        <f aca="false">SUMIFS(Presupuesto!$H$5:$H$231,Presupuesto!$I$5:$I$231,$A31,Presupuesto!$E$5:$E$231,$B31)</f>
        <v>435712500</v>
      </c>
      <c r="E31" s="24" t="n">
        <f aca="false">COUNTIFS(Presupuesto!$I$5:$I$231,$A31,Presupuesto!$E$5:$E$231,$B31)</f>
        <v>1</v>
      </c>
    </row>
    <row r="32" customFormat="false" ht="15" hidden="false" customHeight="false" outlineLevel="0" collapsed="false">
      <c r="A32" s="4" t="s">
        <v>113</v>
      </c>
      <c r="B32" s="4" t="s">
        <v>93</v>
      </c>
      <c r="C32" s="23" t="n">
        <f aca="false">SUMIFS(Presupuesto!$F$5:$F$231,Presupuesto!$I$5:$I$231,$A32,Presupuesto!$E$5:$E$231,$B32)</f>
        <v>381048.177625</v>
      </c>
      <c r="D32" s="5" t="n">
        <f aca="false">SUMIFS(Presupuesto!$H$5:$H$231,Presupuesto!$I$5:$I$231,$A32,Presupuesto!$E$5:$E$231,$B32)</f>
        <v>1299306017.725</v>
      </c>
      <c r="E32" s="24" t="n">
        <f aca="false">COUNTIFS(Presupuesto!$I$5:$I$231,$A32,Presupuesto!$E$5:$E$231,$B32)</f>
        <v>6</v>
      </c>
    </row>
    <row r="33" customFormat="false" ht="15" hidden="false" customHeight="false" outlineLevel="0" collapsed="false">
      <c r="A33" s="4" t="s">
        <v>90</v>
      </c>
      <c r="B33" s="4" t="s">
        <v>60</v>
      </c>
      <c r="C33" s="23" t="n">
        <f aca="false">SUMIFS(Presupuesto!$F$5:$F$231,Presupuesto!$I$5:$I$231,$A33,Presupuesto!$E$5:$E$231,$B33)</f>
        <v>30717.54</v>
      </c>
      <c r="D33" s="5" t="n">
        <f aca="false">SUMIFS(Presupuesto!$H$5:$H$231,Presupuesto!$I$5:$I$231,$A33,Presupuesto!$E$5:$E$231,$B33)</f>
        <v>362466972</v>
      </c>
      <c r="E33" s="24" t="n">
        <f aca="false">COUNTIFS(Presupuesto!$I$5:$I$231,$A33,Presupuesto!$E$5:$E$231,$B33)</f>
        <v>1</v>
      </c>
    </row>
    <row r="34" customFormat="false" ht="15" hidden="false" customHeight="false" outlineLevel="0" collapsed="false">
      <c r="A34" s="4" t="s">
        <v>220</v>
      </c>
      <c r="B34" s="4" t="s">
        <v>93</v>
      </c>
      <c r="C34" s="23" t="n">
        <f aca="false">SUMIFS(Presupuesto!$F$5:$F$231,Presupuesto!$I$5:$I$231,$A34,Presupuesto!$E$5:$E$231,$B34)</f>
        <v>2693.915</v>
      </c>
      <c r="D34" s="5" t="n">
        <f aca="false">SUMIFS(Presupuesto!$H$5:$H$231,Presupuesto!$I$5:$I$231,$A34,Presupuesto!$E$5:$E$231,$B34)</f>
        <v>12392009</v>
      </c>
      <c r="E34" s="24" t="n">
        <f aca="false">COUNTIFS(Presupuesto!$I$5:$I$231,$A34,Presupuesto!$E$5:$E$231,$B34)</f>
        <v>1</v>
      </c>
    </row>
    <row r="35" customFormat="false" ht="15" hidden="false" customHeight="false" outlineLevel="0" collapsed="false">
      <c r="A35" s="4" t="s">
        <v>145</v>
      </c>
      <c r="B35" s="4" t="s">
        <v>93</v>
      </c>
      <c r="C35" s="23" t="n">
        <f aca="false">SUMIFS(Presupuesto!$F$5:$F$231,Presupuesto!$I$5:$I$231,$A35,Presupuesto!$E$5:$E$231,$B35)</f>
        <v>236787.0745</v>
      </c>
      <c r="D35" s="5" t="n">
        <f aca="false">SUMIFS(Presupuesto!$H$5:$H$231,Presupuesto!$I$5:$I$231,$A35,Presupuesto!$E$5:$E$231,$B35)</f>
        <v>853752658.475</v>
      </c>
      <c r="E35" s="24" t="n">
        <f aca="false">COUNTIFS(Presupuesto!$I$5:$I$231,$A35,Presupuesto!$E$5:$E$231,$B35)</f>
        <v>6</v>
      </c>
    </row>
    <row r="36" customFormat="false" ht="15" hidden="false" customHeight="false" outlineLevel="0" collapsed="false">
      <c r="A36" s="4" t="s">
        <v>137</v>
      </c>
      <c r="B36" s="4" t="s">
        <v>93</v>
      </c>
      <c r="C36" s="23" t="n">
        <f aca="false">SUMIFS(Presupuesto!$F$5:$F$231,Presupuesto!$I$5:$I$231,$A36,Presupuesto!$E$5:$E$231,$B36)</f>
        <v>16687.0165</v>
      </c>
      <c r="D36" s="5" t="n">
        <f aca="false">SUMIFS(Presupuesto!$H$5:$H$231,Presupuesto!$I$5:$I$231,$A36,Presupuesto!$E$5:$E$231,$B36)</f>
        <v>71754170.95</v>
      </c>
      <c r="E36" s="24" t="n">
        <f aca="false">COUNTIFS(Presupuesto!$I$5:$I$231,$A36,Presupuesto!$E$5:$E$231,$B36)</f>
        <v>1</v>
      </c>
    </row>
    <row r="37" customFormat="false" ht="15" hidden="false" customHeight="false" outlineLevel="0" collapsed="false">
      <c r="A37" s="4" t="s">
        <v>155</v>
      </c>
      <c r="B37" s="4" t="s">
        <v>93</v>
      </c>
      <c r="C37" s="23" t="n">
        <f aca="false">SUMIFS(Presupuesto!$F$5:$F$231,Presupuesto!$I$5:$I$231,$A37,Presupuesto!$E$5:$E$231,$B37)</f>
        <v>27285.9</v>
      </c>
      <c r="D37" s="5" t="n">
        <f aca="false">SUMIFS(Presupuesto!$H$5:$H$231,Presupuesto!$I$5:$I$231,$A37,Presupuesto!$E$5:$E$231,$B37)</f>
        <v>114600780</v>
      </c>
      <c r="E37" s="24" t="n">
        <f aca="false">COUNTIFS(Presupuesto!$I$5:$I$231,$A37,Presupuesto!$E$5:$E$231,$B37)</f>
        <v>2</v>
      </c>
    </row>
    <row r="38" customFormat="false" ht="15" hidden="false" customHeight="false" outlineLevel="0" collapsed="false">
      <c r="A38" s="4" t="s">
        <v>134</v>
      </c>
      <c r="B38" s="4" t="s">
        <v>93</v>
      </c>
      <c r="C38" s="23" t="n">
        <f aca="false">SUMIFS(Presupuesto!$F$5:$F$231,Presupuesto!$I$5:$I$231,$A38,Presupuesto!$E$5:$E$231,$B38)</f>
        <v>30155.822675</v>
      </c>
      <c r="D38" s="5" t="n">
        <f aca="false">SUMIFS(Presupuesto!$H$5:$H$231,Presupuesto!$I$5:$I$231,$A38,Presupuesto!$E$5:$E$231,$B38)</f>
        <v>235215416.865</v>
      </c>
      <c r="E38" s="24" t="n">
        <f aca="false">COUNTIFS(Presupuesto!$I$5:$I$231,$A38,Presupuesto!$E$5:$E$231,$B38)</f>
        <v>1</v>
      </c>
    </row>
    <row r="39" customFormat="false" ht="15" hidden="false" customHeight="false" outlineLevel="0" collapsed="false">
      <c r="A39" s="4" t="s">
        <v>640</v>
      </c>
      <c r="B39" s="4" t="s">
        <v>82</v>
      </c>
      <c r="C39" s="23" t="n">
        <f aca="false">SUMIFS(Presupuesto!$F$5:$F$231,Presupuesto!$I$5:$I$231,$A39,Presupuesto!$E$5:$E$231,$B39)</f>
        <v>2</v>
      </c>
      <c r="D39" s="5" t="n">
        <f aca="false">SUMIFS(Presupuesto!$H$5:$H$231,Presupuesto!$I$5:$I$231,$A39,Presupuesto!$E$5:$E$231,$B39)</f>
        <v>50000000</v>
      </c>
      <c r="E39" s="24" t="n">
        <f aca="false">COUNTIFS(Presupuesto!$I$5:$I$231,$A39,Presupuesto!$E$5:$E$231,$B39)</f>
        <v>2</v>
      </c>
    </row>
    <row r="40" customFormat="false" ht="15" hidden="false" customHeight="false" outlineLevel="0" collapsed="false">
      <c r="A40" s="4" t="s">
        <v>502</v>
      </c>
      <c r="B40" s="4" t="s">
        <v>82</v>
      </c>
      <c r="C40" s="23" t="n">
        <f aca="false">SUMIFS(Presupuesto!$F$5:$F$231,Presupuesto!$I$5:$I$231,$A40,Presupuesto!$E$5:$E$231,$B40)</f>
        <v>1</v>
      </c>
      <c r="D40" s="5" t="n">
        <f aca="false">SUMIFS(Presupuesto!$H$5:$H$231,Presupuesto!$I$5:$I$231,$A40,Presupuesto!$E$5:$E$231,$B40)</f>
        <v>140000000</v>
      </c>
      <c r="E40" s="24" t="n">
        <f aca="false">COUNTIFS(Presupuesto!$I$5:$I$231,$A40,Presupuesto!$E$5:$E$231,$B40)</f>
        <v>1</v>
      </c>
    </row>
    <row r="41" customFormat="false" ht="15" hidden="false" customHeight="false" outlineLevel="0" collapsed="false">
      <c r="A41" s="4" t="s">
        <v>493</v>
      </c>
      <c r="B41" s="4" t="s">
        <v>82</v>
      </c>
      <c r="C41" s="23" t="n">
        <f aca="false">SUMIFS(Presupuesto!$F$5:$F$231,Presupuesto!$I$5:$I$231,$A41,Presupuesto!$E$5:$E$231,$B41)</f>
        <v>1</v>
      </c>
      <c r="D41" s="5" t="n">
        <f aca="false">SUMIFS(Presupuesto!$H$5:$H$231,Presupuesto!$I$5:$I$231,$A41,Presupuesto!$E$5:$E$231,$B41)</f>
        <v>240000000</v>
      </c>
      <c r="E41" s="24" t="n">
        <f aca="false">COUNTIFS(Presupuesto!$I$5:$I$231,$A41,Presupuesto!$E$5:$E$231,$B41)</f>
        <v>1</v>
      </c>
    </row>
    <row r="42" customFormat="false" ht="15" hidden="false" customHeight="false" outlineLevel="0" collapsed="false">
      <c r="A42" s="4" t="s">
        <v>595</v>
      </c>
      <c r="B42" s="4" t="s">
        <v>594</v>
      </c>
      <c r="C42" s="23" t="n">
        <f aca="false">SUMIFS(Presupuesto!$F$5:$F$231,Presupuesto!$I$5:$I$231,$A42,Presupuesto!$E$5:$E$231,$B42)</f>
        <v>128924.3249</v>
      </c>
      <c r="D42" s="5" t="n">
        <f aca="false">SUMIFS(Presupuesto!$H$5:$H$231,Presupuesto!$I$5:$I$231,$A42,Presupuesto!$E$5:$E$231,$B42)</f>
        <v>7090837.8695</v>
      </c>
      <c r="E42" s="24" t="n">
        <f aca="false">COUNTIFS(Presupuesto!$I$5:$I$231,$A42,Presupuesto!$E$5:$E$231,$B42)</f>
        <v>1</v>
      </c>
    </row>
    <row r="43" customFormat="false" ht="15" hidden="false" customHeight="false" outlineLevel="0" collapsed="false">
      <c r="A43" s="4" t="s">
        <v>475</v>
      </c>
      <c r="B43" s="4" t="s">
        <v>60</v>
      </c>
      <c r="C43" s="23" t="n">
        <f aca="false">SUMIFS(Presupuesto!$F$5:$F$231,Presupuesto!$I$5:$I$231,$A43,Presupuesto!$E$5:$E$231,$B43)</f>
        <v>908119.22</v>
      </c>
      <c r="D43" s="5" t="n">
        <f aca="false">SUMIFS(Presupuesto!$H$5:$H$231,Presupuesto!$I$5:$I$231,$A43,Presupuesto!$E$5:$E$231,$B43)</f>
        <v>236110997.2</v>
      </c>
      <c r="E43" s="24" t="n">
        <f aca="false">COUNTIFS(Presupuesto!$I$5:$I$231,$A43,Presupuesto!$E$5:$E$231,$B43)</f>
        <v>1</v>
      </c>
    </row>
    <row r="44" customFormat="false" ht="15" hidden="false" customHeight="false" outlineLevel="0" collapsed="false">
      <c r="A44" s="4" t="s">
        <v>619</v>
      </c>
      <c r="B44" s="4" t="s">
        <v>103</v>
      </c>
      <c r="C44" s="23" t="n">
        <f aca="false">SUMIFS(Presupuesto!$F$5:$F$231,Presupuesto!$I$5:$I$231,$A44,Presupuesto!$E$5:$E$231,$B44)</f>
        <v>10429.81070125</v>
      </c>
      <c r="D44" s="5" t="n">
        <f aca="false">SUMIFS(Presupuesto!$H$5:$H$231,Presupuesto!$I$5:$I$231,$A44,Presupuesto!$E$5:$E$231,$B44)</f>
        <v>782235.80259375</v>
      </c>
      <c r="E44" s="24" t="n">
        <f aca="false">COUNTIFS(Presupuesto!$I$5:$I$231,$A44,Presupuesto!$E$5:$E$231,$B44)</f>
        <v>1</v>
      </c>
    </row>
    <row r="45" customFormat="false" ht="15" hidden="false" customHeight="false" outlineLevel="0" collapsed="false">
      <c r="A45" s="4" t="s">
        <v>631</v>
      </c>
      <c r="B45" s="4" t="s">
        <v>82</v>
      </c>
      <c r="C45" s="23" t="n">
        <f aca="false">SUMIFS(Presupuesto!$F$5:$F$231,Presupuesto!$I$5:$I$231,$A45,Presupuesto!$E$5:$E$231,$B45)</f>
        <v>1</v>
      </c>
      <c r="D45" s="5" t="n">
        <f aca="false">SUMIFS(Presupuesto!$H$5:$H$231,Presupuesto!$I$5:$I$231,$A45,Presupuesto!$E$5:$E$231,$B45)</f>
        <v>120000000</v>
      </c>
      <c r="E45" s="24" t="n">
        <f aca="false">COUNTIFS(Presupuesto!$I$5:$I$231,$A45,Presupuesto!$E$5:$E$231,$B45)</f>
        <v>1</v>
      </c>
    </row>
    <row r="46" customFormat="false" ht="15" hidden="false" customHeight="false" outlineLevel="0" collapsed="false">
      <c r="A46" s="4" t="s">
        <v>610</v>
      </c>
      <c r="B46" s="4" t="s">
        <v>116</v>
      </c>
      <c r="C46" s="23" t="n">
        <f aca="false">SUMIFS(Presupuesto!$F$5:$F$231,Presupuesto!$I$5:$I$231,$A46,Presupuesto!$E$5:$E$231,$B46)</f>
        <v>312894.3210375</v>
      </c>
      <c r="D46" s="5" t="n">
        <f aca="false">SUMIFS(Presupuesto!$H$5:$H$231,Presupuesto!$I$5:$I$231,$A46,Presupuesto!$E$5:$E$231,$B46)</f>
        <v>29724960.4985625</v>
      </c>
      <c r="E46" s="24" t="n">
        <f aca="false">COUNTIFS(Presupuesto!$I$5:$I$231,$A46,Presupuesto!$E$5:$E$231,$B46)</f>
        <v>1</v>
      </c>
    </row>
    <row r="47" customFormat="false" ht="15" hidden="false" customHeight="false" outlineLevel="0" collapsed="false">
      <c r="A47" s="4" t="s">
        <v>505</v>
      </c>
      <c r="B47" s="4" t="s">
        <v>103</v>
      </c>
      <c r="C47" s="23" t="n">
        <f aca="false">SUMIFS(Presupuesto!$F$5:$F$231,Presupuesto!$I$5:$I$231,$A47,Presupuesto!$E$5:$E$231,$B47)</f>
        <v>174</v>
      </c>
      <c r="D47" s="5" t="n">
        <f aca="false">SUMIFS(Presupuesto!$H$5:$H$231,Presupuesto!$I$5:$I$231,$A47,Presupuesto!$E$5:$E$231,$B47)</f>
        <v>576000000</v>
      </c>
      <c r="E47" s="24" t="n">
        <f aca="false">COUNTIFS(Presupuesto!$I$5:$I$231,$A47,Presupuesto!$E$5:$E$231,$B47)</f>
        <v>2</v>
      </c>
    </row>
    <row r="48" customFormat="false" ht="15" hidden="false" customHeight="false" outlineLevel="0" collapsed="false">
      <c r="A48" s="4" t="s">
        <v>516</v>
      </c>
      <c r="B48" s="4" t="s">
        <v>103</v>
      </c>
      <c r="C48" s="23" t="n">
        <f aca="false">SUMIFS(Presupuesto!$F$5:$F$231,Presupuesto!$I$5:$I$231,$A48,Presupuesto!$E$5:$E$231,$B48)</f>
        <v>16</v>
      </c>
      <c r="D48" s="5" t="n">
        <f aca="false">SUMIFS(Presupuesto!$H$5:$H$231,Presupuesto!$I$5:$I$231,$A48,Presupuesto!$E$5:$E$231,$B48)</f>
        <v>89600000</v>
      </c>
      <c r="E48" s="24" t="n">
        <f aca="false">COUNTIFS(Presupuesto!$I$5:$I$231,$A48,Presupuesto!$E$5:$E$231,$B48)</f>
        <v>1</v>
      </c>
    </row>
    <row r="49" customFormat="false" ht="15" hidden="false" customHeight="false" outlineLevel="0" collapsed="false">
      <c r="A49" s="4" t="s">
        <v>547</v>
      </c>
      <c r="B49" s="4" t="s">
        <v>60</v>
      </c>
      <c r="C49" s="23" t="n">
        <f aca="false">SUMIFS(Presupuesto!$F$5:$F$231,Presupuesto!$I$5:$I$231,$A49,Presupuesto!$E$5:$E$231,$B49)</f>
        <v>349027.18</v>
      </c>
      <c r="D49" s="5" t="n">
        <f aca="false">SUMIFS(Presupuesto!$H$5:$H$231,Presupuesto!$I$5:$I$231,$A49,Presupuesto!$E$5:$E$231,$B49)</f>
        <v>111688697.6</v>
      </c>
      <c r="E49" s="24" t="n">
        <f aca="false">COUNTIFS(Presupuesto!$I$5:$I$231,$A49,Presupuesto!$E$5:$E$231,$B49)</f>
        <v>1</v>
      </c>
    </row>
    <row r="50" customFormat="false" ht="15" hidden="false" customHeight="false" outlineLevel="0" collapsed="false">
      <c r="A50" s="4" t="s">
        <v>100</v>
      </c>
      <c r="B50" s="4" t="s">
        <v>69</v>
      </c>
      <c r="C50" s="23" t="n">
        <f aca="false">SUMIFS(Presupuesto!$F$5:$F$231,Presupuesto!$I$5:$I$231,$A50,Presupuesto!$E$5:$E$231,$B50)</f>
        <v>18</v>
      </c>
      <c r="D50" s="5" t="n">
        <f aca="false">SUMIFS(Presupuesto!$H$5:$H$231,Presupuesto!$I$5:$I$231,$A50,Presupuesto!$E$5:$E$231,$B50)</f>
        <v>28800000</v>
      </c>
      <c r="E50" s="24" t="n">
        <f aca="false">COUNTIFS(Presupuesto!$I$5:$I$231,$A50,Presupuesto!$E$5:$E$231,$B50)</f>
        <v>1</v>
      </c>
    </row>
    <row r="51" customFormat="false" ht="15" hidden="false" customHeight="false" outlineLevel="0" collapsed="false">
      <c r="A51" s="4" t="s">
        <v>341</v>
      </c>
      <c r="B51" s="4" t="s">
        <v>103</v>
      </c>
      <c r="C51" s="23" t="n">
        <f aca="false">SUMIFS(Presupuesto!$F$5:$F$231,Presupuesto!$I$5:$I$231,$A51,Presupuesto!$E$5:$E$231,$B51)</f>
        <v>24</v>
      </c>
      <c r="D51" s="5" t="n">
        <f aca="false">SUMIFS(Presupuesto!$H$5:$H$231,Presupuesto!$I$5:$I$231,$A51,Presupuesto!$E$5:$E$231,$B51)</f>
        <v>74400000</v>
      </c>
      <c r="E51" s="24" t="n">
        <f aca="false">COUNTIFS(Presupuesto!$I$5:$I$231,$A51,Presupuesto!$E$5:$E$231,$B51)</f>
        <v>1</v>
      </c>
    </row>
    <row r="52" customFormat="false" ht="15" hidden="false" customHeight="false" outlineLevel="0" collapsed="false">
      <c r="A52" s="4" t="s">
        <v>356</v>
      </c>
      <c r="B52" s="4" t="s">
        <v>82</v>
      </c>
      <c r="C52" s="23" t="n">
        <f aca="false">SUMIFS(Presupuesto!$F$5:$F$231,Presupuesto!$I$5:$I$231,$A52,Presupuesto!$E$5:$E$231,$B52)</f>
        <v>1</v>
      </c>
      <c r="D52" s="5" t="n">
        <f aca="false">SUMIFS(Presupuesto!$H$5:$H$231,Presupuesto!$I$5:$I$231,$A52,Presupuesto!$E$5:$E$231,$B52)</f>
        <v>85000000</v>
      </c>
      <c r="E52" s="24" t="n">
        <f aca="false">COUNTIFS(Presupuesto!$I$5:$I$231,$A52,Presupuesto!$E$5:$E$231,$B52)</f>
        <v>1</v>
      </c>
    </row>
    <row r="53" customFormat="false" ht="15" hidden="false" customHeight="false" outlineLevel="0" collapsed="false">
      <c r="A53" s="4" t="s">
        <v>579</v>
      </c>
      <c r="B53" s="4" t="s">
        <v>82</v>
      </c>
      <c r="C53" s="23" t="n">
        <f aca="false">SUMIFS(Presupuesto!$F$5:$F$231,Presupuesto!$I$5:$I$231,$A53,Presupuesto!$E$5:$E$231,$B53)</f>
        <v>1</v>
      </c>
      <c r="D53" s="5" t="n">
        <f aca="false">SUMIFS(Presupuesto!$H$5:$H$231,Presupuesto!$I$5:$I$231,$A53,Presupuesto!$E$5:$E$231,$B53)</f>
        <v>65000000</v>
      </c>
      <c r="E53" s="24" t="n">
        <f aca="false">COUNTIFS(Presupuesto!$I$5:$I$231,$A53,Presupuesto!$E$5:$E$231,$B53)</f>
        <v>1</v>
      </c>
    </row>
    <row r="54" customFormat="false" ht="15" hidden="false" customHeight="false" outlineLevel="0" collapsed="false">
      <c r="A54" s="4" t="s">
        <v>391</v>
      </c>
      <c r="B54" s="4" t="s">
        <v>82</v>
      </c>
      <c r="C54" s="23" t="n">
        <f aca="false">SUMIFS(Presupuesto!$F$5:$F$231,Presupuesto!$I$5:$I$231,$A54,Presupuesto!$E$5:$E$231,$B54)</f>
        <v>1</v>
      </c>
      <c r="D54" s="5" t="n">
        <f aca="false">SUMIFS(Presupuesto!$H$5:$H$231,Presupuesto!$I$5:$I$231,$A54,Presupuesto!$E$5:$E$231,$B54)</f>
        <v>36000000</v>
      </c>
      <c r="E54" s="24" t="n">
        <f aca="false">COUNTIFS(Presupuesto!$I$5:$I$231,$A54,Presupuesto!$E$5:$E$231,$B54)</f>
        <v>1</v>
      </c>
    </row>
    <row r="55" customFormat="false" ht="15" hidden="false" customHeight="false" outlineLevel="0" collapsed="false">
      <c r="A55" s="4" t="s">
        <v>530</v>
      </c>
      <c r="B55" s="4" t="s">
        <v>82</v>
      </c>
      <c r="C55" s="23" t="n">
        <f aca="false">SUMIFS(Presupuesto!$F$5:$F$231,Presupuesto!$I$5:$I$231,$A55,Presupuesto!$E$5:$E$231,$B55)</f>
        <v>2</v>
      </c>
      <c r="D55" s="5" t="n">
        <f aca="false">SUMIFS(Presupuesto!$H$5:$H$231,Presupuesto!$I$5:$I$231,$A55,Presupuesto!$E$5:$E$231,$B55)</f>
        <v>70000000</v>
      </c>
      <c r="E55" s="24" t="n">
        <f aca="false">COUNTIFS(Presupuesto!$I$5:$I$231,$A55,Presupuesto!$E$5:$E$231,$B55)</f>
        <v>2</v>
      </c>
    </row>
    <row r="56" customFormat="false" ht="15" hidden="false" customHeight="false" outlineLevel="0" collapsed="false">
      <c r="A56" s="4" t="s">
        <v>450</v>
      </c>
      <c r="B56" s="4" t="s">
        <v>82</v>
      </c>
      <c r="C56" s="23" t="n">
        <f aca="false">SUMIFS(Presupuesto!$F$5:$F$231,Presupuesto!$I$5:$I$231,$A56,Presupuesto!$E$5:$E$231,$B56)</f>
        <v>1</v>
      </c>
      <c r="D56" s="5" t="n">
        <f aca="false">SUMIFS(Presupuesto!$H$5:$H$231,Presupuesto!$I$5:$I$231,$A56,Presupuesto!$E$5:$E$231,$B56)</f>
        <v>95000000</v>
      </c>
      <c r="E56" s="24" t="n">
        <f aca="false">COUNTIFS(Presupuesto!$I$5:$I$231,$A56,Presupuesto!$E$5:$E$231,$B56)</f>
        <v>1</v>
      </c>
    </row>
    <row r="57" customFormat="false" ht="15" hidden="false" customHeight="false" outlineLevel="0" collapsed="false">
      <c r="A57" s="4" t="s">
        <v>508</v>
      </c>
      <c r="B57" s="4" t="s">
        <v>103</v>
      </c>
      <c r="C57" s="23" t="n">
        <f aca="false">SUMIFS(Presupuesto!$F$5:$F$231,Presupuesto!$I$5:$I$231,$A57,Presupuesto!$E$5:$E$231,$B57)</f>
        <v>368</v>
      </c>
      <c r="D57" s="5" t="n">
        <f aca="false">SUMIFS(Presupuesto!$H$5:$H$231,Presupuesto!$I$5:$I$231,$A57,Presupuesto!$E$5:$E$231,$B57)</f>
        <v>1353600000</v>
      </c>
      <c r="E57" s="24" t="n">
        <f aca="false">COUNTIFS(Presupuesto!$I$5:$I$231,$A57,Presupuesto!$E$5:$E$231,$B57)</f>
        <v>2</v>
      </c>
    </row>
    <row r="58" customFormat="false" ht="15" hidden="false" customHeight="false" outlineLevel="0" collapsed="false">
      <c r="A58" s="4" t="s">
        <v>83</v>
      </c>
      <c r="B58" s="4" t="s">
        <v>82</v>
      </c>
      <c r="C58" s="23" t="n">
        <f aca="false">SUMIFS(Presupuesto!$F$5:$F$231,Presupuesto!$I$5:$I$231,$A58,Presupuesto!$E$5:$E$231,$B58)</f>
        <v>1</v>
      </c>
      <c r="D58" s="5" t="n">
        <f aca="false">SUMIFS(Presupuesto!$H$5:$H$231,Presupuesto!$I$5:$I$231,$A58,Presupuesto!$E$5:$E$231,$B58)</f>
        <v>38000000</v>
      </c>
      <c r="E58" s="24" t="n">
        <f aca="false">COUNTIFS(Presupuesto!$I$5:$I$231,$A58,Presupuesto!$E$5:$E$231,$B58)</f>
        <v>1</v>
      </c>
    </row>
    <row r="59" customFormat="false" ht="15" hidden="false" customHeight="false" outlineLevel="0" collapsed="false">
      <c r="A59" s="4" t="s">
        <v>484</v>
      </c>
      <c r="B59" s="4" t="s">
        <v>103</v>
      </c>
      <c r="C59" s="23" t="n">
        <f aca="false">SUMIFS(Presupuesto!$F$5:$F$231,Presupuesto!$I$5:$I$231,$A59,Presupuesto!$E$5:$E$231,$B59)</f>
        <v>2400</v>
      </c>
      <c r="D59" s="5" t="n">
        <f aca="false">SUMIFS(Presupuesto!$H$5:$H$231,Presupuesto!$I$5:$I$231,$A59,Presupuesto!$E$5:$E$231,$B59)</f>
        <v>15600000</v>
      </c>
      <c r="E59" s="24" t="n">
        <f aca="false">COUNTIFS(Presupuesto!$I$5:$I$231,$A59,Presupuesto!$E$5:$E$231,$B59)</f>
        <v>1</v>
      </c>
    </row>
    <row r="60" customFormat="false" ht="15" hidden="false" customHeight="false" outlineLevel="0" collapsed="false">
      <c r="A60" s="4" t="s">
        <v>487</v>
      </c>
      <c r="B60" s="4" t="s">
        <v>60</v>
      </c>
      <c r="C60" s="23" t="n">
        <f aca="false">SUMIFS(Presupuesto!$F$5:$F$231,Presupuesto!$I$5:$I$231,$A60,Presupuesto!$E$5:$E$231,$B60)</f>
        <v>559092.04</v>
      </c>
      <c r="D60" s="5" t="n">
        <f aca="false">SUMIFS(Presupuesto!$H$5:$H$231,Presupuesto!$I$5:$I$231,$A60,Presupuesto!$E$5:$E$231,$B60)</f>
        <v>290727860.8</v>
      </c>
      <c r="E60" s="24" t="n">
        <f aca="false">COUNTIFS(Presupuesto!$I$5:$I$231,$A60,Presupuesto!$E$5:$E$231,$B60)</f>
        <v>1</v>
      </c>
    </row>
    <row r="61" customFormat="false" ht="15" hidden="false" customHeight="false" outlineLevel="0" collapsed="false">
      <c r="A61" s="4" t="s">
        <v>427</v>
      </c>
      <c r="B61" s="4" t="s">
        <v>426</v>
      </c>
      <c r="C61" s="23" t="n">
        <f aca="false">SUMIFS(Presupuesto!$F$5:$F$231,Presupuesto!$I$5:$I$231,$A61,Presupuesto!$E$5:$E$231,$B61)</f>
        <v>8000</v>
      </c>
      <c r="D61" s="5" t="n">
        <f aca="false">SUMIFS(Presupuesto!$H$5:$H$231,Presupuesto!$I$5:$I$231,$A61,Presupuesto!$E$5:$E$231,$B61)</f>
        <v>78400000</v>
      </c>
      <c r="E61" s="24" t="n">
        <f aca="false">COUNTIFS(Presupuesto!$I$5:$I$231,$A61,Presupuesto!$E$5:$E$231,$B61)</f>
        <v>1</v>
      </c>
    </row>
    <row r="62" customFormat="false" ht="15" hidden="false" customHeight="false" outlineLevel="0" collapsed="false">
      <c r="A62" s="4" t="s">
        <v>535</v>
      </c>
      <c r="B62" s="4" t="s">
        <v>103</v>
      </c>
      <c r="C62" s="23" t="n">
        <f aca="false">SUMIFS(Presupuesto!$F$5:$F$231,Presupuesto!$I$5:$I$231,$A62,Presupuesto!$E$5:$E$231,$B62)</f>
        <v>3384</v>
      </c>
      <c r="D62" s="5" t="n">
        <f aca="false">SUMIFS(Presupuesto!$H$5:$H$231,Presupuesto!$I$5:$I$231,$A62,Presupuesto!$E$5:$E$231,$B62)</f>
        <v>49068000</v>
      </c>
      <c r="E62" s="24" t="n">
        <f aca="false">COUNTIFS(Presupuesto!$I$5:$I$231,$A62,Presupuesto!$E$5:$E$231,$B62)</f>
        <v>1</v>
      </c>
    </row>
    <row r="63" customFormat="false" ht="15" hidden="false" customHeight="false" outlineLevel="0" collapsed="false">
      <c r="A63" s="4" t="s">
        <v>388</v>
      </c>
      <c r="B63" s="4" t="s">
        <v>103</v>
      </c>
      <c r="C63" s="23" t="n">
        <f aca="false">SUMIFS(Presupuesto!$F$5:$F$231,Presupuesto!$I$5:$I$231,$A63,Presupuesto!$E$5:$E$231,$B63)</f>
        <v>24</v>
      </c>
      <c r="D63" s="5" t="n">
        <f aca="false">SUMIFS(Presupuesto!$H$5:$H$231,Presupuesto!$I$5:$I$231,$A63,Presupuesto!$E$5:$E$231,$B63)</f>
        <v>156000000</v>
      </c>
      <c r="E63" s="24" t="n">
        <f aca="false">COUNTIFS(Presupuesto!$I$5:$I$231,$A63,Presupuesto!$E$5:$E$231,$B63)</f>
        <v>1</v>
      </c>
    </row>
    <row r="64" customFormat="false" ht="15" hidden="false" customHeight="false" outlineLevel="0" collapsed="false">
      <c r="A64" s="4" t="s">
        <v>628</v>
      </c>
      <c r="B64" s="4" t="s">
        <v>82</v>
      </c>
      <c r="C64" s="23" t="n">
        <f aca="false">SUMIFS(Presupuesto!$F$5:$F$231,Presupuesto!$I$5:$I$231,$A64,Presupuesto!$E$5:$E$231,$B64)</f>
        <v>1</v>
      </c>
      <c r="D64" s="5" t="n">
        <f aca="false">SUMIFS(Presupuesto!$H$5:$H$231,Presupuesto!$I$5:$I$231,$A64,Presupuesto!$E$5:$E$231,$B64)</f>
        <v>85000000</v>
      </c>
      <c r="E64" s="24" t="n">
        <f aca="false">COUNTIFS(Presupuesto!$I$5:$I$231,$A64,Presupuesto!$E$5:$E$231,$B64)</f>
        <v>1</v>
      </c>
    </row>
    <row r="65" customFormat="false" ht="15" hidden="false" customHeight="false" outlineLevel="0" collapsed="false">
      <c r="A65" s="4" t="s">
        <v>414</v>
      </c>
      <c r="B65" s="4" t="s">
        <v>413</v>
      </c>
      <c r="C65" s="23" t="n">
        <f aca="false">SUMIFS(Presupuesto!$F$5:$F$231,Presupuesto!$I$5:$I$231,$A65,Presupuesto!$E$5:$E$231,$B65)</f>
        <v>13671.15</v>
      </c>
      <c r="D65" s="5" t="n">
        <f aca="false">SUMIFS(Presupuesto!$H$5:$H$231,Presupuesto!$I$5:$I$231,$A65,Presupuesto!$E$5:$E$231,$B65)</f>
        <v>60994600</v>
      </c>
      <c r="E65" s="24" t="n">
        <f aca="false">COUNTIFS(Presupuesto!$I$5:$I$231,$A65,Presupuesto!$E$5:$E$231,$B65)</f>
        <v>2</v>
      </c>
    </row>
    <row r="66" customFormat="false" ht="15" hidden="false" customHeight="false" outlineLevel="0" collapsed="false">
      <c r="A66" s="4" t="s">
        <v>195</v>
      </c>
      <c r="B66" s="4" t="s">
        <v>65</v>
      </c>
      <c r="C66" s="23" t="n">
        <f aca="false">SUMIFS(Presupuesto!$F$5:$F$231,Presupuesto!$I$5:$I$231,$A66,Presupuesto!$E$5:$E$231,$B66)</f>
        <v>5417.64</v>
      </c>
      <c r="D66" s="5" t="n">
        <f aca="false">SUMIFS(Presupuesto!$H$5:$H$231,Presupuesto!$I$5:$I$231,$A66,Presupuesto!$E$5:$E$231,$B66)</f>
        <v>53092872</v>
      </c>
      <c r="E66" s="24" t="n">
        <f aca="false">COUNTIFS(Presupuesto!$I$5:$I$231,$A66,Presupuesto!$E$5:$E$231,$B66)</f>
        <v>1</v>
      </c>
    </row>
    <row r="67" customFormat="false" ht="15" hidden="false" customHeight="false" outlineLevel="0" collapsed="false">
      <c r="A67" s="4" t="s">
        <v>344</v>
      </c>
      <c r="B67" s="4" t="s">
        <v>103</v>
      </c>
      <c r="C67" s="23" t="n">
        <f aca="false">SUMIFS(Presupuesto!$F$5:$F$231,Presupuesto!$I$5:$I$231,$A67,Presupuesto!$E$5:$E$231,$B67)</f>
        <v>152</v>
      </c>
      <c r="D67" s="5" t="n">
        <f aca="false">SUMIFS(Presupuesto!$H$5:$H$231,Presupuesto!$I$5:$I$231,$A67,Presupuesto!$E$5:$E$231,$B67)</f>
        <v>98800000</v>
      </c>
      <c r="E67" s="24" t="n">
        <f aca="false">COUNTIFS(Presupuesto!$I$5:$I$231,$A67,Presupuesto!$E$5:$E$231,$B67)</f>
        <v>1</v>
      </c>
    </row>
    <row r="68" customFormat="false" ht="15" hidden="false" customHeight="false" outlineLevel="0" collapsed="false">
      <c r="A68" s="4" t="s">
        <v>405</v>
      </c>
      <c r="B68" s="4" t="s">
        <v>103</v>
      </c>
      <c r="C68" s="23" t="n">
        <f aca="false">SUMIFS(Presupuesto!$F$5:$F$231,Presupuesto!$I$5:$I$231,$A68,Presupuesto!$E$5:$E$231,$B68)</f>
        <v>420</v>
      </c>
      <c r="D68" s="5" t="n">
        <f aca="false">SUMIFS(Presupuesto!$H$5:$H$231,Presupuesto!$I$5:$I$231,$A68,Presupuesto!$E$5:$E$231,$B68)</f>
        <v>39900000</v>
      </c>
      <c r="E68" s="24" t="n">
        <f aca="false">COUNTIFS(Presupuesto!$I$5:$I$231,$A68,Presupuesto!$E$5:$E$231,$B68)</f>
        <v>1</v>
      </c>
    </row>
    <row r="69" customFormat="false" ht="15" hidden="false" customHeight="false" outlineLevel="0" collapsed="false">
      <c r="A69" s="4" t="s">
        <v>408</v>
      </c>
      <c r="B69" s="4" t="s">
        <v>82</v>
      </c>
      <c r="C69" s="23" t="n">
        <f aca="false">SUMIFS(Presupuesto!$F$5:$F$231,Presupuesto!$I$5:$I$231,$A69,Presupuesto!$E$5:$E$231,$B69)</f>
        <v>1</v>
      </c>
      <c r="D69" s="5" t="n">
        <f aca="false">SUMIFS(Presupuesto!$H$5:$H$231,Presupuesto!$I$5:$I$231,$A69,Presupuesto!$E$5:$E$231,$B69)</f>
        <v>180000000</v>
      </c>
      <c r="E69" s="24" t="n">
        <f aca="false">COUNTIFS(Presupuesto!$I$5:$I$231,$A69,Presupuesto!$E$5:$E$231,$B69)</f>
        <v>1</v>
      </c>
    </row>
    <row r="70" customFormat="false" ht="15" hidden="false" customHeight="false" outlineLevel="0" collapsed="false">
      <c r="A70" s="4" t="s">
        <v>527</v>
      </c>
      <c r="B70" s="4" t="s">
        <v>103</v>
      </c>
      <c r="C70" s="23" t="n">
        <f aca="false">SUMIFS(Presupuesto!$F$5:$F$231,Presupuesto!$I$5:$I$231,$A70,Presupuesto!$E$5:$E$231,$B70)</f>
        <v>8</v>
      </c>
      <c r="D70" s="5" t="n">
        <f aca="false">SUMIFS(Presupuesto!$H$5:$H$231,Presupuesto!$I$5:$I$231,$A70,Presupuesto!$E$5:$E$231,$B70)</f>
        <v>41600000</v>
      </c>
      <c r="E70" s="24" t="n">
        <f aca="false">COUNTIFS(Presupuesto!$I$5:$I$231,$A70,Presupuesto!$E$5:$E$231,$B70)</f>
        <v>1</v>
      </c>
    </row>
    <row r="71" customFormat="false" ht="15" hidden="false" customHeight="false" outlineLevel="0" collapsed="false">
      <c r="A71" s="4" t="s">
        <v>66</v>
      </c>
      <c r="B71" s="4" t="s">
        <v>65</v>
      </c>
      <c r="C71" s="23" t="n">
        <f aca="false">SUMIFS(Presupuesto!$F$5:$F$231,Presupuesto!$I$5:$I$231,$A71,Presupuesto!$E$5:$E$231,$B71)</f>
        <v>1900.26</v>
      </c>
      <c r="D71" s="5" t="n">
        <f aca="false">SUMIFS(Presupuesto!$H$5:$H$231,Presupuesto!$I$5:$I$231,$A71,Presupuesto!$E$5:$E$231,$B71)</f>
        <v>4940676</v>
      </c>
      <c r="E71" s="24" t="n">
        <f aca="false">COUNTIFS(Presupuesto!$I$5:$I$231,$A71,Presupuesto!$E$5:$E$231,$B71)</f>
        <v>1</v>
      </c>
    </row>
    <row r="72" customFormat="false" ht="15" hidden="false" customHeight="false" outlineLevel="0" collapsed="false">
      <c r="A72" s="4" t="s">
        <v>232</v>
      </c>
      <c r="B72" s="4" t="s">
        <v>93</v>
      </c>
      <c r="C72" s="23" t="n">
        <f aca="false">SUMIFS(Presupuesto!$F$5:$F$231,Presupuesto!$I$5:$I$231,$A72,Presupuesto!$E$5:$E$231,$B72)</f>
        <v>2562.6117</v>
      </c>
      <c r="D72" s="5" t="n">
        <f aca="false">SUMIFS(Presupuesto!$H$5:$H$231,Presupuesto!$I$5:$I$231,$A72,Presupuesto!$E$5:$E$231,$B72)</f>
        <v>158881925.4</v>
      </c>
      <c r="E72" s="24" t="n">
        <f aca="false">COUNTIFS(Presupuesto!$I$5:$I$231,$A72,Presupuesto!$E$5:$E$231,$B72)</f>
        <v>1</v>
      </c>
    </row>
    <row r="73" customFormat="false" ht="15" hidden="false" customHeight="false" outlineLevel="0" collapsed="false">
      <c r="A73" s="4" t="s">
        <v>240</v>
      </c>
      <c r="B73" s="4" t="s">
        <v>60</v>
      </c>
      <c r="C73" s="23" t="n">
        <f aca="false">SUMIFS(Presupuesto!$F$5:$F$231,Presupuesto!$I$5:$I$231,$A73,Presupuesto!$E$5:$E$231,$B73)</f>
        <v>2296.33</v>
      </c>
      <c r="D73" s="5" t="n">
        <f aca="false">SUMIFS(Presupuesto!$H$5:$H$231,Presupuesto!$I$5:$I$231,$A73,Presupuesto!$E$5:$E$231,$B73)</f>
        <v>9644586</v>
      </c>
      <c r="E73" s="24" t="n">
        <f aca="false">COUNTIFS(Presupuesto!$I$5:$I$231,$A73,Presupuesto!$E$5:$E$231,$B73)</f>
        <v>1</v>
      </c>
    </row>
    <row r="74" customFormat="false" ht="15" hidden="false" customHeight="false" outlineLevel="0" collapsed="false">
      <c r="A74" s="4" t="s">
        <v>313</v>
      </c>
      <c r="B74" s="4" t="s">
        <v>60</v>
      </c>
      <c r="C74" s="23" t="n">
        <f aca="false">SUMIFS(Presupuesto!$F$5:$F$231,Presupuesto!$I$5:$I$231,$A74,Presupuesto!$E$5:$E$231,$B74)</f>
        <v>32768</v>
      </c>
      <c r="D74" s="5" t="n">
        <f aca="false">SUMIFS(Presupuesto!$H$5:$H$231,Presupuesto!$I$5:$I$231,$A74,Presupuesto!$E$5:$E$231,$B74)</f>
        <v>157286400</v>
      </c>
      <c r="E74" s="24" t="n">
        <f aca="false">COUNTIFS(Presupuesto!$I$5:$I$231,$A74,Presupuesto!$E$5:$E$231,$B74)</f>
        <v>1</v>
      </c>
    </row>
    <row r="75" customFormat="false" ht="15" hidden="false" customHeight="false" outlineLevel="0" collapsed="false">
      <c r="A75" s="4" t="s">
        <v>379</v>
      </c>
      <c r="B75" s="4" t="s">
        <v>60</v>
      </c>
      <c r="C75" s="23" t="n">
        <f aca="false">SUMIFS(Presupuesto!$F$5:$F$231,Presupuesto!$I$5:$I$231,$A75,Presupuesto!$E$5:$E$231,$B75)</f>
        <v>39090.97</v>
      </c>
      <c r="D75" s="5" t="n">
        <f aca="false">SUMIFS(Presupuesto!$H$5:$H$231,Presupuesto!$I$5:$I$231,$A75,Presupuesto!$E$5:$E$231,$B75)</f>
        <v>101636522</v>
      </c>
      <c r="E75" s="24" t="n">
        <f aca="false">COUNTIFS(Presupuesto!$I$5:$I$231,$A75,Presupuesto!$E$5:$E$231,$B75)</f>
        <v>1</v>
      </c>
    </row>
    <row r="76" customFormat="false" ht="15" hidden="false" customHeight="false" outlineLevel="0" collapsed="false">
      <c r="A76" s="4" t="s">
        <v>226</v>
      </c>
      <c r="B76" s="4" t="s">
        <v>93</v>
      </c>
      <c r="C76" s="23" t="n">
        <f aca="false">SUMIFS(Presupuesto!$F$5:$F$231,Presupuesto!$I$5:$I$231,$A76,Presupuesto!$E$5:$E$231,$B76)</f>
        <v>5618.5115</v>
      </c>
      <c r="D76" s="5" t="n">
        <f aca="false">SUMIFS(Presupuesto!$H$5:$H$231,Presupuesto!$I$5:$I$231,$A76,Presupuesto!$E$5:$E$231,$B76)</f>
        <v>438243897</v>
      </c>
      <c r="E76" s="24" t="n">
        <f aca="false">COUNTIFS(Presupuesto!$I$5:$I$231,$A76,Presupuesto!$E$5:$E$231,$B76)</f>
        <v>1</v>
      </c>
    </row>
    <row r="77" customFormat="false" ht="15" hidden="false" customHeight="false" outlineLevel="0" collapsed="false">
      <c r="A77" s="4" t="s">
        <v>464</v>
      </c>
      <c r="B77" s="4" t="s">
        <v>60</v>
      </c>
      <c r="C77" s="23" t="n">
        <f aca="false">SUMIFS(Presupuesto!$F$5:$F$231,Presupuesto!$I$5:$I$231,$A77,Presupuesto!$E$5:$E$231,$B77)</f>
        <v>463937.651</v>
      </c>
      <c r="D77" s="5" t="n">
        <f aca="false">SUMIFS(Presupuesto!$H$5:$H$231,Presupuesto!$I$5:$I$231,$A77,Presupuesto!$E$5:$E$231,$B77)</f>
        <v>1299662201.8</v>
      </c>
      <c r="E77" s="24" t="n">
        <f aca="false">COUNTIFS(Presupuesto!$I$5:$I$231,$A77,Presupuesto!$E$5:$E$231,$B77)</f>
        <v>2</v>
      </c>
    </row>
    <row r="78" customFormat="false" ht="15" hidden="false" customHeight="false" outlineLevel="0" collapsed="false">
      <c r="A78" s="4" t="s">
        <v>538</v>
      </c>
      <c r="B78" s="4" t="s">
        <v>103</v>
      </c>
      <c r="C78" s="23" t="n">
        <f aca="false">SUMIFS(Presupuesto!$F$5:$F$231,Presupuesto!$I$5:$I$231,$A78,Presupuesto!$E$5:$E$231,$B78)</f>
        <v>1</v>
      </c>
      <c r="D78" s="5" t="n">
        <f aca="false">SUMIFS(Presupuesto!$H$5:$H$231,Presupuesto!$I$5:$I$231,$A78,Presupuesto!$E$5:$E$231,$B78)</f>
        <v>3800000</v>
      </c>
      <c r="E78" s="24" t="n">
        <f aca="false">COUNTIFS(Presupuesto!$I$5:$I$231,$A78,Presupuesto!$E$5:$E$231,$B78)</f>
        <v>1</v>
      </c>
    </row>
    <row r="79" customFormat="false" ht="15" hidden="false" customHeight="false" outlineLevel="0" collapsed="false">
      <c r="A79" s="4" t="s">
        <v>394</v>
      </c>
      <c r="B79" s="4" t="s">
        <v>60</v>
      </c>
      <c r="C79" s="23" t="n">
        <f aca="false">SUMIFS(Presupuesto!$F$5:$F$231,Presupuesto!$I$5:$I$231,$A79,Presupuesto!$E$5:$E$231,$B79)</f>
        <v>908119.22</v>
      </c>
      <c r="D79" s="5" t="n">
        <f aca="false">SUMIFS(Presupuesto!$H$5:$H$231,Presupuesto!$I$5:$I$231,$A79,Presupuesto!$E$5:$E$231,$B79)</f>
        <v>40865364.9</v>
      </c>
      <c r="E79" s="24" t="n">
        <f aca="false">COUNTIFS(Presupuesto!$I$5:$I$231,$A79,Presupuesto!$E$5:$E$231,$B79)</f>
        <v>1</v>
      </c>
    </row>
    <row r="80" customFormat="false" ht="15" hidden="false" customHeight="false" outlineLevel="0" collapsed="false">
      <c r="A80" s="4" t="s">
        <v>61</v>
      </c>
      <c r="B80" s="4" t="s">
        <v>60</v>
      </c>
      <c r="C80" s="23" t="n">
        <f aca="false">SUMIFS(Presupuesto!$F$5:$F$231,Presupuesto!$I$5:$I$231,$A80,Presupuesto!$E$5:$E$231,$B80)</f>
        <v>283535.79</v>
      </c>
      <c r="D80" s="5" t="n">
        <f aca="false">SUMIFS(Presupuesto!$H$5:$H$231,Presupuesto!$I$5:$I$231,$A80,Presupuesto!$E$5:$E$231,$B80)</f>
        <v>10774360.02</v>
      </c>
      <c r="E80" s="24" t="n">
        <f aca="false">COUNTIFS(Presupuesto!$I$5:$I$231,$A80,Presupuesto!$E$5:$E$231,$B80)</f>
        <v>1</v>
      </c>
    </row>
    <row r="81" customFormat="false" ht="15" hidden="false" customHeight="false" outlineLevel="0" collapsed="false">
      <c r="A81" s="4" t="s">
        <v>94</v>
      </c>
      <c r="B81" s="4" t="s">
        <v>93</v>
      </c>
      <c r="C81" s="23" t="n">
        <f aca="false">SUMIFS(Presupuesto!$F$5:$F$231,Presupuesto!$I$5:$I$231,$A81,Presupuesto!$E$5:$E$231,$B81)</f>
        <v>2971508.15</v>
      </c>
      <c r="D81" s="5" t="n">
        <f aca="false">SUMIFS(Presupuesto!$H$5:$H$231,Presupuesto!$I$5:$I$231,$A81,Presupuesto!$E$5:$E$231,$B81)</f>
        <v>490298844.75</v>
      </c>
      <c r="E81" s="24" t="n">
        <f aca="false">COUNTIFS(Presupuesto!$I$5:$I$231,$A81,Presupuesto!$E$5:$E$231,$B81)</f>
        <v>1</v>
      </c>
    </row>
    <row r="82" customFormat="false" ht="15" hidden="false" customHeight="false" outlineLevel="0" collapsed="false">
      <c r="A82" s="4" t="s">
        <v>129</v>
      </c>
      <c r="B82" s="4" t="s">
        <v>93</v>
      </c>
      <c r="C82" s="23" t="n">
        <f aca="false">SUMIFS(Presupuesto!$F$5:$F$231,Presupuesto!$I$5:$I$231,$A82,Presupuesto!$E$5:$E$231,$B82)</f>
        <v>92053.665</v>
      </c>
      <c r="D82" s="5" t="n">
        <f aca="false">SUMIFS(Presupuesto!$H$5:$H$231,Presupuesto!$I$5:$I$231,$A82,Presupuesto!$E$5:$E$231,$B82)</f>
        <v>44185759.2</v>
      </c>
      <c r="E82" s="24" t="n">
        <f aca="false">COUNTIFS(Presupuesto!$I$5:$I$231,$A82,Presupuesto!$E$5:$E$231,$B82)</f>
        <v>1</v>
      </c>
    </row>
    <row r="83" customFormat="false" ht="15" hidden="false" customHeight="false" outlineLevel="0" collapsed="false">
      <c r="A83" s="4" t="s">
        <v>278</v>
      </c>
      <c r="B83" s="4" t="s">
        <v>82</v>
      </c>
      <c r="C83" s="23" t="n">
        <f aca="false">SUMIFS(Presupuesto!$F$5:$F$231,Presupuesto!$I$5:$I$231,$A83,Presupuesto!$E$5:$E$231,$B83)</f>
        <v>1</v>
      </c>
      <c r="D83" s="5" t="n">
        <f aca="false">SUMIFS(Presupuesto!$H$5:$H$231,Presupuesto!$I$5:$I$231,$A83,Presupuesto!$E$5:$E$231,$B83)</f>
        <v>680000000</v>
      </c>
      <c r="E83" s="24" t="n">
        <f aca="false">COUNTIFS(Presupuesto!$I$5:$I$231,$A83,Presupuesto!$E$5:$E$231,$B83)</f>
        <v>1</v>
      </c>
    </row>
    <row r="84" customFormat="false" ht="15" hidden="false" customHeight="false" outlineLevel="0" collapsed="false">
      <c r="A84" s="4" t="s">
        <v>123</v>
      </c>
      <c r="B84" s="4" t="s">
        <v>60</v>
      </c>
      <c r="C84" s="23" t="n">
        <f aca="false">SUMIFS(Presupuesto!$F$5:$F$231,Presupuesto!$I$5:$I$231,$A84,Presupuesto!$E$5:$E$231,$B84)</f>
        <v>192167.22</v>
      </c>
      <c r="D84" s="5" t="n">
        <f aca="false">SUMIFS(Presupuesto!$H$5:$H$231,Presupuesto!$I$5:$I$231,$A84,Presupuesto!$E$5:$E$231,$B84)</f>
        <v>183998904.6</v>
      </c>
      <c r="E84" s="24" t="n">
        <f aca="false">COUNTIFS(Presupuesto!$I$5:$I$231,$A84,Presupuesto!$E$5:$E$231,$B84)</f>
        <v>2</v>
      </c>
    </row>
    <row r="85" customFormat="false" ht="15" hidden="false" customHeight="false" outlineLevel="0" collapsed="false">
      <c r="A85" s="4" t="s">
        <v>120</v>
      </c>
      <c r="B85" s="4" t="s">
        <v>60</v>
      </c>
      <c r="C85" s="23" t="n">
        <f aca="false">SUMIFS(Presupuesto!$F$5:$F$231,Presupuesto!$I$5:$I$231,$A85,Presupuesto!$E$5:$E$231,$B85)</f>
        <v>259295.09</v>
      </c>
      <c r="D85" s="5" t="n">
        <f aca="false">SUMIFS(Presupuesto!$H$5:$H$231,Presupuesto!$I$5:$I$231,$A85,Presupuesto!$E$5:$E$231,$B85)</f>
        <v>134833446.8</v>
      </c>
      <c r="E85" s="24" t="n">
        <f aca="false">COUNTIFS(Presupuesto!$I$5:$I$231,$A85,Presupuesto!$E$5:$E$231,$B85)</f>
        <v>1</v>
      </c>
    </row>
    <row r="86" customFormat="false" ht="15" hidden="false" customHeight="false" outlineLevel="0" collapsed="false">
      <c r="A86" s="4" t="s">
        <v>601</v>
      </c>
      <c r="B86" s="4" t="s">
        <v>594</v>
      </c>
      <c r="C86" s="23" t="n">
        <f aca="false">SUMIFS(Presupuesto!$F$5:$F$231,Presupuesto!$I$5:$I$231,$A86,Presupuesto!$E$5:$E$231,$B86)</f>
        <v>200341.566</v>
      </c>
      <c r="D86" s="5" t="n">
        <f aca="false">SUMIFS(Presupuesto!$H$5:$H$231,Presupuesto!$I$5:$I$231,$A86,Presupuesto!$E$5:$E$231,$B86)</f>
        <v>9616395.168</v>
      </c>
      <c r="E86" s="24" t="n">
        <f aca="false">COUNTIFS(Presupuesto!$I$5:$I$231,$A86,Presupuesto!$E$5:$E$231,$B86)</f>
        <v>1</v>
      </c>
    </row>
    <row r="87" customFormat="false" ht="15" hidden="false" customHeight="false" outlineLevel="0" collapsed="false">
      <c r="A87" s="4" t="s">
        <v>582</v>
      </c>
      <c r="B87" s="4" t="s">
        <v>82</v>
      </c>
      <c r="C87" s="23" t="n">
        <f aca="false">SUMIFS(Presupuesto!$F$5:$F$231,Presupuesto!$I$5:$I$231,$A87,Presupuesto!$E$5:$E$231,$B87)</f>
        <v>1</v>
      </c>
      <c r="D87" s="5" t="n">
        <f aca="false">SUMIFS(Presupuesto!$H$5:$H$231,Presupuesto!$I$5:$I$231,$A87,Presupuesto!$E$5:$E$231,$B87)</f>
        <v>48000000</v>
      </c>
      <c r="E87" s="24" t="n">
        <f aca="false">COUNTIFS(Presupuesto!$I$5:$I$231,$A87,Presupuesto!$E$5:$E$231,$B87)</f>
        <v>1</v>
      </c>
    </row>
    <row r="88" customFormat="false" ht="15" hidden="false" customHeight="false" outlineLevel="0" collapsed="false">
      <c r="A88" s="4" t="s">
        <v>521</v>
      </c>
      <c r="B88" s="4" t="s">
        <v>103</v>
      </c>
      <c r="C88" s="23" t="n">
        <f aca="false">SUMIFS(Presupuesto!$F$5:$F$231,Presupuesto!$I$5:$I$231,$A88,Presupuesto!$E$5:$E$231,$B88)</f>
        <v>8</v>
      </c>
      <c r="D88" s="5" t="n">
        <f aca="false">SUMIFS(Presupuesto!$H$5:$H$231,Presupuesto!$I$5:$I$231,$A88,Presupuesto!$E$5:$E$231,$B88)</f>
        <v>33600000</v>
      </c>
      <c r="E88" s="24" t="n">
        <f aca="false">COUNTIFS(Presupuesto!$I$5:$I$231,$A88,Presupuesto!$E$5:$E$231,$B88)</f>
        <v>1</v>
      </c>
    </row>
    <row r="89" customFormat="false" ht="15" hidden="false" customHeight="false" outlineLevel="0" collapsed="false">
      <c r="A89" s="4" t="s">
        <v>374</v>
      </c>
      <c r="B89" s="4" t="s">
        <v>103</v>
      </c>
      <c r="C89" s="23" t="n">
        <f aca="false">SUMIFS(Presupuesto!$F$5:$F$231,Presupuesto!$I$5:$I$231,$A89,Presupuesto!$E$5:$E$231,$B89)</f>
        <v>210</v>
      </c>
      <c r="D89" s="5" t="n">
        <f aca="false">SUMIFS(Presupuesto!$H$5:$H$231,Presupuesto!$I$5:$I$231,$A89,Presupuesto!$E$5:$E$231,$B89)</f>
        <v>462000000</v>
      </c>
      <c r="E89" s="24" t="n">
        <f aca="false">COUNTIFS(Presupuesto!$I$5:$I$231,$A89,Presupuesto!$E$5:$E$231,$B89)</f>
        <v>1</v>
      </c>
    </row>
    <row r="90" customFormat="false" ht="15" hidden="false" customHeight="false" outlineLevel="0" collapsed="false">
      <c r="A90" s="4" t="s">
        <v>338</v>
      </c>
      <c r="B90" s="4" t="s">
        <v>103</v>
      </c>
      <c r="C90" s="23" t="n">
        <f aca="false">SUMIFS(Presupuesto!$F$5:$F$231,Presupuesto!$I$5:$I$231,$A90,Presupuesto!$E$5:$E$231,$B90)</f>
        <v>64</v>
      </c>
      <c r="D90" s="5" t="n">
        <f aca="false">SUMIFS(Presupuesto!$H$5:$H$231,Presupuesto!$I$5:$I$231,$A90,Presupuesto!$E$5:$E$231,$B90)</f>
        <v>230400000</v>
      </c>
      <c r="E90" s="24" t="n">
        <f aca="false">COUNTIFS(Presupuesto!$I$5:$I$231,$A90,Presupuesto!$E$5:$E$231,$B90)</f>
        <v>1</v>
      </c>
    </row>
    <row r="91" customFormat="false" ht="15" hidden="false" customHeight="false" outlineLevel="0" collapsed="false">
      <c r="A91" s="4" t="s">
        <v>365</v>
      </c>
      <c r="B91" s="4" t="s">
        <v>60</v>
      </c>
      <c r="C91" s="23" t="n">
        <f aca="false">SUMIFS(Presupuesto!$F$5:$F$231,Presupuesto!$I$5:$I$231,$A91,Presupuesto!$E$5:$E$231,$B91)</f>
        <v>250954.639</v>
      </c>
      <c r="D91" s="5" t="n">
        <f aca="false">SUMIFS(Presupuesto!$H$5:$H$231,Presupuesto!$I$5:$I$231,$A91,Presupuesto!$E$5:$E$231,$B91)</f>
        <v>727768453.1</v>
      </c>
      <c r="E91" s="24" t="n">
        <f aca="false">COUNTIFS(Presupuesto!$I$5:$I$231,$A91,Presupuesto!$E$5:$E$231,$B91)</f>
        <v>1</v>
      </c>
    </row>
    <row r="92" customFormat="false" ht="15" hidden="false" customHeight="false" outlineLevel="0" collapsed="false">
      <c r="A92" s="4" t="s">
        <v>266</v>
      </c>
      <c r="B92" s="4" t="s">
        <v>60</v>
      </c>
      <c r="C92" s="23" t="n">
        <f aca="false">SUMIFS(Presupuesto!$F$5:$F$231,Presupuesto!$I$5:$I$231,$A92,Presupuesto!$E$5:$E$231,$B92)</f>
        <v>40040.32</v>
      </c>
      <c r="D92" s="5" t="n">
        <f aca="false">SUMIFS(Presupuesto!$H$5:$H$231,Presupuesto!$I$5:$I$231,$A92,Presupuesto!$E$5:$E$231,$B92)</f>
        <v>156157248</v>
      </c>
      <c r="E92" s="24" t="n">
        <f aca="false">COUNTIFS(Presupuesto!$I$5:$I$231,$A92,Presupuesto!$E$5:$E$231,$B92)</f>
        <v>1</v>
      </c>
    </row>
    <row r="93" customFormat="false" ht="15" hidden="false" customHeight="false" outlineLevel="0" collapsed="false">
      <c r="A93" s="4" t="s">
        <v>417</v>
      </c>
      <c r="B93" s="4" t="s">
        <v>413</v>
      </c>
      <c r="C93" s="23" t="n">
        <f aca="false">SUMIFS(Presupuesto!$F$5:$F$231,Presupuesto!$I$5:$I$231,$A93,Presupuesto!$E$5:$E$231,$B93)</f>
        <v>1029</v>
      </c>
      <c r="D93" s="5" t="n">
        <f aca="false">SUMIFS(Presupuesto!$H$5:$H$231,Presupuesto!$I$5:$I$231,$A93,Presupuesto!$E$5:$E$231,$B93)</f>
        <v>16978500</v>
      </c>
      <c r="E93" s="24" t="n">
        <f aca="false">COUNTIFS(Presupuesto!$I$5:$I$231,$A93,Presupuesto!$E$5:$E$231,$B93)</f>
        <v>1</v>
      </c>
    </row>
    <row r="94" customFormat="false" ht="15" hidden="false" customHeight="false" outlineLevel="0" collapsed="false">
      <c r="A94" s="4" t="s">
        <v>263</v>
      </c>
      <c r="B94" s="4" t="s">
        <v>60</v>
      </c>
      <c r="C94" s="23" t="n">
        <f aca="false">SUMIFS(Presupuesto!$F$5:$F$231,Presupuesto!$I$5:$I$231,$A94,Presupuesto!$E$5:$E$231,$B94)</f>
        <v>48073.23</v>
      </c>
      <c r="D94" s="5" t="n">
        <f aca="false">SUMIFS(Presupuesto!$H$5:$H$231,Presupuesto!$I$5:$I$231,$A94,Presupuesto!$E$5:$E$231,$B94)</f>
        <v>298054026</v>
      </c>
      <c r="E94" s="24" t="n">
        <f aca="false">COUNTIFS(Presupuesto!$I$5:$I$231,$A94,Presupuesto!$E$5:$E$231,$B94)</f>
        <v>1</v>
      </c>
    </row>
    <row r="95" customFormat="false" ht="15" hidden="false" customHeight="false" outlineLevel="0" collapsed="false">
      <c r="A95" s="4" t="s">
        <v>284</v>
      </c>
      <c r="B95" s="4" t="s">
        <v>60</v>
      </c>
      <c r="C95" s="23" t="n">
        <f aca="false">SUMIFS(Presupuesto!$F$5:$F$231,Presupuesto!$I$5:$I$231,$A95,Presupuesto!$E$5:$E$231,$B95)</f>
        <v>10231.93</v>
      </c>
      <c r="D95" s="5" t="n">
        <f aca="false">SUMIFS(Presupuesto!$H$5:$H$231,Presupuesto!$I$5:$I$231,$A95,Presupuesto!$E$5:$E$231,$B95)</f>
        <v>441837080</v>
      </c>
      <c r="E95" s="24" t="n">
        <f aca="false">COUNTIFS(Presupuesto!$I$5:$I$231,$A95,Presupuesto!$E$5:$E$231,$B95)</f>
        <v>2</v>
      </c>
    </row>
    <row r="96" customFormat="false" ht="15" hidden="false" customHeight="false" outlineLevel="0" collapsed="false">
      <c r="A96" s="4" t="s">
        <v>524</v>
      </c>
      <c r="B96" s="4" t="s">
        <v>60</v>
      </c>
      <c r="C96" s="23" t="n">
        <f aca="false">SUMIFS(Presupuesto!$F$5:$F$231,Presupuesto!$I$5:$I$231,$A96,Presupuesto!$E$5:$E$231,$B96)</f>
        <v>10500</v>
      </c>
      <c r="D96" s="5" t="n">
        <f aca="false">SUMIFS(Presupuesto!$H$5:$H$231,Presupuesto!$I$5:$I$231,$A96,Presupuesto!$E$5:$E$231,$B96)</f>
        <v>44100000</v>
      </c>
      <c r="E96" s="24" t="n">
        <f aca="false">COUNTIFS(Presupuesto!$I$5:$I$231,$A96,Presupuesto!$E$5:$E$231,$B96)</f>
        <v>1</v>
      </c>
    </row>
    <row r="97" customFormat="false" ht="15" hidden="false" customHeight="false" outlineLevel="0" collapsed="false">
      <c r="A97" s="4" t="s">
        <v>573</v>
      </c>
      <c r="B97" s="4" t="s">
        <v>60</v>
      </c>
      <c r="C97" s="23" t="n">
        <f aca="false">SUMIFS(Presupuesto!$F$5:$F$231,Presupuesto!$I$5:$I$231,$A97,Presupuesto!$E$5:$E$231,$B97)</f>
        <v>11464.52</v>
      </c>
      <c r="D97" s="5" t="n">
        <f aca="false">SUMIFS(Presupuesto!$H$5:$H$231,Presupuesto!$I$5:$I$231,$A97,Presupuesto!$E$5:$E$231,$B97)</f>
        <v>17196780</v>
      </c>
      <c r="E97" s="24" t="n">
        <f aca="false">COUNTIFS(Presupuesto!$I$5:$I$231,$A97,Presupuesto!$E$5:$E$231,$B97)</f>
        <v>1</v>
      </c>
    </row>
    <row r="98" customFormat="false" ht="15" hidden="false" customHeight="false" outlineLevel="0" collapsed="false">
      <c r="A98" s="4" t="s">
        <v>260</v>
      </c>
      <c r="B98" s="4" t="s">
        <v>60</v>
      </c>
      <c r="C98" s="23" t="n">
        <f aca="false">SUMIFS(Presupuesto!$F$5:$F$231,Presupuesto!$I$5:$I$231,$A98,Presupuesto!$E$5:$E$231,$B98)</f>
        <v>51377.27</v>
      </c>
      <c r="D98" s="5" t="n">
        <f aca="false">SUMIFS(Presupuesto!$H$5:$H$231,Presupuesto!$I$5:$I$231,$A98,Presupuesto!$E$5:$E$231,$B98)</f>
        <v>888303120</v>
      </c>
      <c r="E98" s="24" t="n">
        <f aca="false">COUNTIFS(Presupuesto!$I$5:$I$231,$A98,Presupuesto!$E$5:$E$231,$B98)</f>
        <v>2</v>
      </c>
    </row>
    <row r="99" customFormat="false" ht="15" hidden="false" customHeight="false" outlineLevel="0" collapsed="false">
      <c r="A99" s="4" t="s">
        <v>556</v>
      </c>
      <c r="B99" s="4" t="s">
        <v>60</v>
      </c>
      <c r="C99" s="23" t="n">
        <f aca="false">SUMIFS(Presupuesto!$F$5:$F$231,Presupuesto!$I$5:$I$231,$A99,Presupuesto!$E$5:$E$231,$B99)</f>
        <v>44821.96</v>
      </c>
      <c r="D99" s="5" t="n">
        <f aca="false">SUMIFS(Presupuesto!$H$5:$H$231,Presupuesto!$I$5:$I$231,$A99,Presupuesto!$E$5:$E$231,$B99)</f>
        <v>73956234</v>
      </c>
      <c r="E99" s="24" t="n">
        <f aca="false">COUNTIFS(Presupuesto!$I$5:$I$231,$A99,Presupuesto!$E$5:$E$231,$B99)</f>
        <v>1</v>
      </c>
    </row>
    <row r="100" customFormat="false" ht="15" hidden="false" customHeight="false" outlineLevel="0" collapsed="false">
      <c r="A100" s="4" t="s">
        <v>553</v>
      </c>
      <c r="B100" s="4" t="s">
        <v>60</v>
      </c>
      <c r="C100" s="23" t="n">
        <f aca="false">SUMIFS(Presupuesto!$F$5:$F$231,Presupuesto!$I$5:$I$231,$A100,Presupuesto!$E$5:$E$231,$B100)</f>
        <v>56018.33</v>
      </c>
      <c r="D100" s="5" t="n">
        <f aca="false">SUMIFS(Presupuesto!$H$5:$H$231,Presupuesto!$I$5:$I$231,$A100,Presupuesto!$E$5:$E$231,$B100)</f>
        <v>81226578.5</v>
      </c>
      <c r="E100" s="24" t="n">
        <f aca="false">COUNTIFS(Presupuesto!$I$5:$I$231,$A100,Presupuesto!$E$5:$E$231,$B100)</f>
        <v>1</v>
      </c>
    </row>
    <row r="101" customFormat="false" ht="15" hidden="false" customHeight="false" outlineLevel="0" collapsed="false">
      <c r="A101" s="4" t="s">
        <v>541</v>
      </c>
      <c r="B101" s="4" t="s">
        <v>103</v>
      </c>
      <c r="C101" s="23" t="n">
        <f aca="false">SUMIFS(Presupuesto!$F$5:$F$231,Presupuesto!$I$5:$I$231,$A101,Presupuesto!$E$5:$E$231,$B101)</f>
        <v>5688</v>
      </c>
      <c r="D101" s="5" t="n">
        <f aca="false">SUMIFS(Presupuesto!$H$5:$H$231,Presupuesto!$I$5:$I$231,$A101,Presupuesto!$E$5:$E$231,$B101)</f>
        <v>10238400</v>
      </c>
      <c r="E101" s="24" t="n">
        <f aca="false">COUNTIFS(Presupuesto!$I$5:$I$231,$A101,Presupuesto!$E$5:$E$231,$B101)</f>
        <v>1</v>
      </c>
    </row>
    <row r="102" customFormat="false" ht="15" hidden="false" customHeight="false" outlineLevel="0" collapsed="false">
      <c r="A102" s="4" t="s">
        <v>616</v>
      </c>
      <c r="B102" s="4" t="s">
        <v>60</v>
      </c>
      <c r="C102" s="23" t="n">
        <f aca="false">SUMIFS(Presupuesto!$F$5:$F$231,Presupuesto!$I$5:$I$231,$A102,Presupuesto!$E$5:$E$231,$B102)</f>
        <v>275347.002513</v>
      </c>
      <c r="D102" s="5" t="n">
        <f aca="false">SUMIFS(Presupuesto!$H$5:$H$231,Presupuesto!$I$5:$I$231,$A102,Presupuesto!$E$5:$E$231,$B102)</f>
        <v>187235961.70884</v>
      </c>
      <c r="E102" s="24" t="n">
        <f aca="false">COUNTIFS(Presupuesto!$I$5:$I$231,$A102,Presupuesto!$E$5:$E$231,$B102)</f>
        <v>1</v>
      </c>
    </row>
    <row r="103" customFormat="false" ht="15" hidden="false" customHeight="false" outlineLevel="0" collapsed="false">
      <c r="A103" s="4" t="s">
        <v>385</v>
      </c>
      <c r="B103" s="4" t="s">
        <v>60</v>
      </c>
      <c r="C103" s="23" t="n">
        <f aca="false">SUMIFS(Presupuesto!$F$5:$F$231,Presupuesto!$I$5:$I$231,$A103,Presupuesto!$E$5:$E$231,$B103)</f>
        <v>318028.432</v>
      </c>
      <c r="D103" s="5" t="n">
        <f aca="false">SUMIFS(Presupuesto!$H$5:$H$231,Presupuesto!$I$5:$I$231,$A103,Presupuesto!$E$5:$E$231,$B103)</f>
        <v>38163411.84</v>
      </c>
      <c r="E103" s="24" t="n">
        <f aca="false">COUNTIFS(Presupuesto!$I$5:$I$231,$A103,Presupuesto!$E$5:$E$231,$B103)</f>
        <v>1</v>
      </c>
    </row>
    <row r="104" customFormat="false" ht="15" hidden="false" customHeight="false" outlineLevel="0" collapsed="false">
      <c r="A104" s="4" t="s">
        <v>335</v>
      </c>
      <c r="B104" s="4" t="s">
        <v>60</v>
      </c>
      <c r="C104" s="23" t="n">
        <f aca="false">SUMIFS(Presupuesto!$F$5:$F$231,Presupuesto!$I$5:$I$231,$A104,Presupuesto!$E$5:$E$231,$B104)</f>
        <v>123748.28</v>
      </c>
      <c r="D104" s="5" t="n">
        <f aca="false">SUMIFS(Presupuesto!$H$5:$H$231,Presupuesto!$I$5:$I$231,$A104,Presupuesto!$E$5:$E$231,$B104)</f>
        <v>167060178</v>
      </c>
      <c r="E104" s="24" t="n">
        <f aca="false">COUNTIFS(Presupuesto!$I$5:$I$231,$A104,Presupuesto!$E$5:$E$231,$B104)</f>
        <v>1</v>
      </c>
    </row>
    <row r="105" customFormat="false" ht="15" hidden="false" customHeight="false" outlineLevel="0" collapsed="false">
      <c r="A105" s="4" t="s">
        <v>447</v>
      </c>
      <c r="B105" s="4" t="s">
        <v>82</v>
      </c>
      <c r="C105" s="23" t="n">
        <f aca="false">SUMIFS(Presupuesto!$F$5:$F$231,Presupuesto!$I$5:$I$231,$A105,Presupuesto!$E$5:$E$231,$B105)</f>
        <v>1</v>
      </c>
      <c r="D105" s="5" t="n">
        <f aca="false">SUMIFS(Presupuesto!$H$5:$H$231,Presupuesto!$I$5:$I$231,$A105,Presupuesto!$E$5:$E$231,$B105)</f>
        <v>210000000</v>
      </c>
      <c r="E105" s="24" t="n">
        <f aca="false">COUNTIFS(Presupuesto!$I$5:$I$231,$A105,Presupuesto!$E$5:$E$231,$B105)</f>
        <v>1</v>
      </c>
    </row>
    <row r="106" customFormat="false" ht="15" hidden="false" customHeight="false" outlineLevel="0" collapsed="false">
      <c r="A106" s="4" t="s">
        <v>562</v>
      </c>
      <c r="B106" s="4" t="s">
        <v>60</v>
      </c>
      <c r="C106" s="23" t="n">
        <f aca="false">SUMIFS(Presupuesto!$F$5:$F$231,Presupuesto!$I$5:$I$231,$A106,Presupuesto!$E$5:$E$231,$B106)</f>
        <v>55944.69</v>
      </c>
      <c r="D106" s="5" t="n">
        <f aca="false">SUMIFS(Presupuesto!$H$5:$H$231,Presupuesto!$I$5:$I$231,$A106,Presupuesto!$E$5:$E$231,$B106)</f>
        <v>69930862.5</v>
      </c>
      <c r="E106" s="24" t="n">
        <f aca="false">COUNTIFS(Presupuesto!$I$5:$I$231,$A106,Presupuesto!$E$5:$E$231,$B106)</f>
        <v>1</v>
      </c>
    </row>
    <row r="107" customFormat="false" ht="15" hidden="false" customHeight="false" outlineLevel="0" collapsed="false">
      <c r="A107" s="4" t="s">
        <v>511</v>
      </c>
      <c r="B107" s="4" t="s">
        <v>103</v>
      </c>
      <c r="C107" s="23" t="n">
        <f aca="false">SUMIFS(Presupuesto!$F$5:$F$231,Presupuesto!$I$5:$I$231,$A107,Presupuesto!$E$5:$E$231,$B107)</f>
        <v>8</v>
      </c>
      <c r="D107" s="5" t="n">
        <f aca="false">SUMIFS(Presupuesto!$H$5:$H$231,Presupuesto!$I$5:$I$231,$A107,Presupuesto!$E$5:$E$231,$B107)</f>
        <v>7600000</v>
      </c>
      <c r="E107" s="24" t="n">
        <f aca="false">COUNTIFS(Presupuesto!$I$5:$I$231,$A107,Presupuesto!$E$5:$E$231,$B107)</f>
        <v>1</v>
      </c>
    </row>
    <row r="108" customFormat="false" ht="15" hidden="false" customHeight="false" outlineLevel="0" collapsed="false">
      <c r="A108" s="4" t="s">
        <v>362</v>
      </c>
      <c r="B108" s="4" t="s">
        <v>60</v>
      </c>
      <c r="C108" s="23" t="n">
        <f aca="false">SUMIFS(Presupuesto!$F$5:$F$231,Presupuesto!$I$5:$I$231,$A108,Presupuesto!$E$5:$E$231,$B108)</f>
        <v>135129.421</v>
      </c>
      <c r="D108" s="5" t="n">
        <f aca="false">SUMIFS(Presupuesto!$H$5:$H$231,Presupuesto!$I$5:$I$231,$A108,Presupuesto!$E$5:$E$231,$B108)</f>
        <v>168911776.25</v>
      </c>
      <c r="E108" s="24" t="n">
        <f aca="false">COUNTIFS(Presupuesto!$I$5:$I$231,$A108,Presupuesto!$E$5:$E$231,$B108)</f>
        <v>1</v>
      </c>
    </row>
    <row r="109" customFormat="false" ht="15" hidden="false" customHeight="false" outlineLevel="0" collapsed="false">
      <c r="A109" s="4" t="s">
        <v>461</v>
      </c>
      <c r="B109" s="4" t="s">
        <v>460</v>
      </c>
      <c r="C109" s="23" t="n">
        <f aca="false">SUMIFS(Presupuesto!$F$5:$F$231,Presupuesto!$I$5:$I$231,$A109,Presupuesto!$E$5:$E$231,$B109)</f>
        <v>400</v>
      </c>
      <c r="D109" s="5" t="n">
        <f aca="false">SUMIFS(Presupuesto!$H$5:$H$231,Presupuesto!$I$5:$I$231,$A109,Presupuesto!$E$5:$E$231,$B109)</f>
        <v>168000000</v>
      </c>
      <c r="E109" s="24" t="n">
        <f aca="false">COUNTIFS(Presupuesto!$I$5:$I$231,$A109,Presupuesto!$E$5:$E$231,$B109)</f>
        <v>1</v>
      </c>
    </row>
    <row r="110" customFormat="false" ht="15" hidden="false" customHeight="false" outlineLevel="0" collapsed="false">
      <c r="A110" s="4" t="s">
        <v>613</v>
      </c>
      <c r="B110" s="4" t="s">
        <v>60</v>
      </c>
      <c r="C110" s="23" t="n">
        <f aca="false">SUMIFS(Presupuesto!$F$5:$F$231,Presupuesto!$I$5:$I$231,$A110,Presupuesto!$E$5:$E$231,$B110)</f>
        <v>458911.670855</v>
      </c>
      <c r="D110" s="5" t="n">
        <f aca="false">SUMIFS(Presupuesto!$H$5:$H$231,Presupuesto!$I$5:$I$231,$A110,Presupuesto!$E$5:$E$231,$B110)</f>
        <v>100960567.5881</v>
      </c>
      <c r="E110" s="24" t="n">
        <f aca="false">COUNTIFS(Presupuesto!$I$5:$I$231,$A110,Presupuesto!$E$5:$E$231,$B110)</f>
        <v>1</v>
      </c>
    </row>
    <row r="111" customFormat="false" ht="15" hidden="false" customHeight="false" outlineLevel="0" collapsed="false">
      <c r="A111" s="4" t="s">
        <v>290</v>
      </c>
      <c r="B111" s="4" t="s">
        <v>103</v>
      </c>
      <c r="C111" s="23" t="n">
        <f aca="false">SUMIFS(Presupuesto!$F$5:$F$231,Presupuesto!$I$5:$I$231,$A111,Presupuesto!$E$5:$E$231,$B111)</f>
        <v>154.666666666667</v>
      </c>
      <c r="D111" s="5" t="n">
        <f aca="false">SUMIFS(Presupuesto!$H$5:$H$231,Presupuesto!$I$5:$I$231,$A111,Presupuesto!$E$5:$E$231,$B111)</f>
        <v>28613333.3333333</v>
      </c>
      <c r="E111" s="24" t="n">
        <f aca="false">COUNTIFS(Presupuesto!$I$5:$I$231,$A111,Presupuesto!$E$5:$E$231,$B111)</f>
        <v>1</v>
      </c>
    </row>
    <row r="112" customFormat="false" ht="15" hidden="false" customHeight="false" outlineLevel="0" collapsed="false">
      <c r="A112" s="4" t="s">
        <v>359</v>
      </c>
      <c r="B112" s="4" t="s">
        <v>103</v>
      </c>
      <c r="C112" s="23" t="n">
        <f aca="false">SUMIFS(Presupuesto!$F$5:$F$231,Presupuesto!$I$5:$I$231,$A112,Presupuesto!$E$5:$E$231,$B112)</f>
        <v>984</v>
      </c>
      <c r="D112" s="5" t="n">
        <f aca="false">SUMIFS(Presupuesto!$H$5:$H$231,Presupuesto!$I$5:$I$231,$A112,Presupuesto!$E$5:$E$231,$B112)</f>
        <v>37392000</v>
      </c>
      <c r="E112" s="24" t="n">
        <f aca="false">COUNTIFS(Presupuesto!$I$5:$I$231,$A112,Presupuesto!$E$5:$E$231,$B112)</f>
        <v>2</v>
      </c>
    </row>
    <row r="113" customFormat="false" ht="15" hidden="false" customHeight="false" outlineLevel="0" collapsed="false">
      <c r="A113" s="4" t="s">
        <v>433</v>
      </c>
      <c r="B113" s="4" t="s">
        <v>82</v>
      </c>
      <c r="C113" s="23" t="n">
        <f aca="false">SUMIFS(Presupuesto!$F$5:$F$231,Presupuesto!$I$5:$I$231,$A113,Presupuesto!$E$5:$E$231,$B113)</f>
        <v>1</v>
      </c>
      <c r="D113" s="5" t="n">
        <f aca="false">SUMIFS(Presupuesto!$H$5:$H$231,Presupuesto!$I$5:$I$231,$A113,Presupuesto!$E$5:$E$231,$B113)</f>
        <v>42000000</v>
      </c>
      <c r="E113" s="24" t="n">
        <f aca="false">COUNTIFS(Presupuesto!$I$5:$I$231,$A113,Presupuesto!$E$5:$E$231,$B113)</f>
        <v>1</v>
      </c>
    </row>
    <row r="114" customFormat="false" ht="15" hidden="false" customHeight="false" outlineLevel="0" collapsed="false">
      <c r="A114" s="4" t="s">
        <v>490</v>
      </c>
      <c r="B114" s="4" t="s">
        <v>82</v>
      </c>
      <c r="C114" s="23" t="n">
        <f aca="false">SUMIFS(Presupuesto!$F$5:$F$231,Presupuesto!$I$5:$I$231,$A114,Presupuesto!$E$5:$E$231,$B114)</f>
        <v>1</v>
      </c>
      <c r="D114" s="5" t="n">
        <f aca="false">SUMIFS(Presupuesto!$H$5:$H$231,Presupuesto!$I$5:$I$231,$A114,Presupuesto!$E$5:$E$231,$B114)</f>
        <v>260000000</v>
      </c>
      <c r="E114" s="24" t="n">
        <f aca="false">COUNTIFS(Presupuesto!$I$5:$I$231,$A114,Presupuesto!$E$5:$E$231,$B114)</f>
        <v>1</v>
      </c>
    </row>
    <row r="115" customFormat="false" ht="15" hidden="false" customHeight="false" outlineLevel="0" collapsed="false">
      <c r="A115" s="4" t="s">
        <v>550</v>
      </c>
      <c r="B115" s="4" t="s">
        <v>103</v>
      </c>
      <c r="C115" s="23" t="n">
        <f aca="false">SUMIFS(Presupuesto!$F$5:$F$231,Presupuesto!$I$5:$I$231,$A115,Presupuesto!$E$5:$E$231,$B115)</f>
        <v>5000</v>
      </c>
      <c r="D115" s="5" t="n">
        <f aca="false">SUMIFS(Presupuesto!$H$5:$H$231,Presupuesto!$I$5:$I$231,$A115,Presupuesto!$E$5:$E$231,$B115)</f>
        <v>14000000</v>
      </c>
      <c r="E115" s="24" t="n">
        <f aca="false">COUNTIFS(Presupuesto!$I$5:$I$231,$A115,Presupuesto!$E$5:$E$231,$B115)</f>
        <v>1</v>
      </c>
    </row>
    <row r="116" customFormat="false" ht="15" hidden="false" customHeight="false" outlineLevel="0" collapsed="false">
      <c r="A116" s="4" t="s">
        <v>310</v>
      </c>
      <c r="B116" s="4" t="s">
        <v>60</v>
      </c>
      <c r="C116" s="23" t="n">
        <f aca="false">SUMIFS(Presupuesto!$F$5:$F$231,Presupuesto!$I$5:$I$231,$A116,Presupuesto!$E$5:$E$231,$B116)</f>
        <v>16128</v>
      </c>
      <c r="D116" s="5" t="n">
        <f aca="false">SUMIFS(Presupuesto!$H$5:$H$231,Presupuesto!$I$5:$I$231,$A116,Presupuesto!$E$5:$E$231,$B116)</f>
        <v>83865600</v>
      </c>
      <c r="E116" s="24" t="n">
        <f aca="false">COUNTIFS(Presupuesto!$I$5:$I$231,$A116,Presupuesto!$E$5:$E$231,$B116)</f>
        <v>1</v>
      </c>
    </row>
    <row r="117" customFormat="false" ht="15" hidden="false" customHeight="false" outlineLevel="0" collapsed="false">
      <c r="A117" s="4" t="s">
        <v>323</v>
      </c>
      <c r="B117" s="4" t="s">
        <v>60</v>
      </c>
      <c r="C117" s="23" t="n">
        <f aca="false">SUMIFS(Presupuesto!$F$5:$F$231,Presupuesto!$I$5:$I$231,$A117,Presupuesto!$E$5:$E$231,$B117)</f>
        <v>100157.61</v>
      </c>
      <c r="D117" s="5" t="n">
        <f aca="false">SUMIFS(Presupuesto!$H$5:$H$231,Presupuesto!$I$5:$I$231,$A117,Presupuesto!$E$5:$E$231,$B117)</f>
        <v>38059891.8</v>
      </c>
      <c r="E117" s="24" t="n">
        <f aca="false">COUNTIFS(Presupuesto!$I$5:$I$231,$A117,Presupuesto!$E$5:$E$231,$B117)</f>
        <v>1</v>
      </c>
    </row>
    <row r="118" customFormat="false" ht="15" hidden="false" customHeight="false" outlineLevel="0" collapsed="false">
      <c r="A118" s="4" t="s">
        <v>76</v>
      </c>
      <c r="B118" s="4" t="s">
        <v>69</v>
      </c>
      <c r="C118" s="23" t="n">
        <f aca="false">SUMIFS(Presupuesto!$F$5:$F$231,Presupuesto!$I$5:$I$231,$A118,Presupuesto!$E$5:$E$231,$B118)</f>
        <v>48</v>
      </c>
      <c r="D118" s="5" t="n">
        <f aca="false">SUMIFS(Presupuesto!$H$5:$H$231,Presupuesto!$I$5:$I$231,$A118,Presupuesto!$E$5:$E$231,$B118)</f>
        <v>470400000</v>
      </c>
      <c r="E118" s="24" t="n">
        <f aca="false">COUNTIFS(Presupuesto!$I$5:$I$231,$A118,Presupuesto!$E$5:$E$231,$B118)</f>
        <v>1</v>
      </c>
    </row>
    <row r="119" customFormat="false" ht="15" hidden="false" customHeight="false" outlineLevel="0" collapsed="false">
      <c r="A119" s="4" t="s">
        <v>70</v>
      </c>
      <c r="B119" s="4" t="s">
        <v>69</v>
      </c>
      <c r="C119" s="23" t="n">
        <f aca="false">SUMIFS(Presupuesto!$F$5:$F$231,Presupuesto!$I$5:$I$231,$A119,Presupuesto!$E$5:$E$231,$B119)</f>
        <v>48</v>
      </c>
      <c r="D119" s="5" t="n">
        <f aca="false">SUMIFS(Presupuesto!$H$5:$H$231,Presupuesto!$I$5:$I$231,$A119,Presupuesto!$E$5:$E$231,$B119)</f>
        <v>69600000</v>
      </c>
      <c r="E119" s="24" t="n">
        <f aca="false">COUNTIFS(Presupuesto!$I$5:$I$231,$A119,Presupuesto!$E$5:$E$231,$B119)</f>
        <v>1</v>
      </c>
    </row>
    <row r="120" customFormat="false" ht="15" hidden="false" customHeight="false" outlineLevel="0" collapsed="false">
      <c r="A120" s="4" t="s">
        <v>87</v>
      </c>
      <c r="B120" s="4" t="s">
        <v>82</v>
      </c>
      <c r="C120" s="23" t="n">
        <f aca="false">SUMIFS(Presupuesto!$F$5:$F$231,Presupuesto!$I$5:$I$231,$A120,Presupuesto!$E$5:$E$231,$B120)</f>
        <v>1</v>
      </c>
      <c r="D120" s="5" t="n">
        <f aca="false">SUMIFS(Presupuesto!$H$5:$H$231,Presupuesto!$I$5:$I$231,$A120,Presupuesto!$E$5:$E$231,$B120)</f>
        <v>420000000</v>
      </c>
      <c r="E120" s="24" t="n">
        <f aca="false">COUNTIFS(Presupuesto!$I$5:$I$231,$A120,Presupuesto!$E$5:$E$231,$B120)</f>
        <v>1</v>
      </c>
    </row>
    <row r="121" customFormat="false" ht="15" hidden="false" customHeight="false" outlineLevel="0" collapsed="false">
      <c r="A121" s="4" t="s">
        <v>622</v>
      </c>
      <c r="B121" s="4" t="s">
        <v>65</v>
      </c>
      <c r="C121" s="23" t="n">
        <f aca="false">SUMIFS(Presupuesto!$F$5:$F$231,Presupuesto!$I$5:$I$231,$A121,Presupuesto!$E$5:$E$231,$B121)</f>
        <v>53190</v>
      </c>
      <c r="D121" s="5" t="n">
        <f aca="false">SUMIFS(Presupuesto!$H$5:$H$231,Presupuesto!$I$5:$I$231,$A121,Presupuesto!$E$5:$E$231,$B121)</f>
        <v>6382800</v>
      </c>
      <c r="E121" s="24" t="n">
        <f aca="false">COUNTIFS(Presupuesto!$I$5:$I$231,$A121,Presupuesto!$E$5:$E$231,$B121)</f>
        <v>1</v>
      </c>
    </row>
    <row r="122" customFormat="false" ht="15" hidden="false" customHeight="false" outlineLevel="0" collapsed="false">
      <c r="A122" s="4" t="s">
        <v>637</v>
      </c>
      <c r="B122" s="4" t="s">
        <v>82</v>
      </c>
      <c r="C122" s="23" t="n">
        <f aca="false">SUMIFS(Presupuesto!$F$5:$F$231,Presupuesto!$I$5:$I$231,$A122,Presupuesto!$E$5:$E$231,$B122)</f>
        <v>1</v>
      </c>
      <c r="D122" s="5" t="n">
        <f aca="false">SUMIFS(Presupuesto!$H$5:$H$231,Presupuesto!$I$5:$I$231,$A122,Presupuesto!$E$5:$E$231,$B122)</f>
        <v>160000000</v>
      </c>
      <c r="E122" s="24" t="n">
        <f aca="false">COUNTIFS(Presupuesto!$I$5:$I$231,$A122,Presupuesto!$E$5:$E$231,$B122)</f>
        <v>1</v>
      </c>
    </row>
    <row r="123" customFormat="false" ht="15" hidden="false" customHeight="false" outlineLevel="0" collapsed="false">
      <c r="A123" s="4" t="s">
        <v>634</v>
      </c>
      <c r="B123" s="4" t="s">
        <v>69</v>
      </c>
      <c r="C123" s="23" t="n">
        <f aca="false">SUMIFS(Presupuesto!$F$5:$F$231,Presupuesto!$I$5:$I$231,$A123,Presupuesto!$E$5:$E$231,$B123)</f>
        <v>48</v>
      </c>
      <c r="D123" s="5" t="n">
        <f aca="false">SUMIFS(Presupuesto!$H$5:$H$231,Presupuesto!$I$5:$I$231,$A123,Presupuesto!$E$5:$E$231,$B123)</f>
        <v>86400000</v>
      </c>
      <c r="E123" s="24" t="n">
        <f aca="false">COUNTIFS(Presupuesto!$I$5:$I$231,$A123,Presupuesto!$E$5:$E$231,$B123)</f>
        <v>1</v>
      </c>
    </row>
    <row r="124" customFormat="false" ht="15" hidden="false" customHeight="false" outlineLevel="0" collapsed="false">
      <c r="A124" s="4" t="s">
        <v>79</v>
      </c>
      <c r="B124" s="4" t="s">
        <v>69</v>
      </c>
      <c r="C124" s="23" t="n">
        <f aca="false">SUMIFS(Presupuesto!$F$5:$F$231,Presupuesto!$I$5:$I$231,$A124,Presupuesto!$E$5:$E$231,$B124)</f>
        <v>48</v>
      </c>
      <c r="D124" s="5" t="n">
        <f aca="false">SUMIFS(Presupuesto!$H$5:$H$231,Presupuesto!$I$5:$I$231,$A124,Presupuesto!$E$5:$E$231,$B124)</f>
        <v>60000000</v>
      </c>
      <c r="E124" s="24" t="n">
        <f aca="false">COUNTIFS(Presupuesto!$I$5:$I$231,$A124,Presupuesto!$E$5:$E$231,$B124)</f>
        <v>1</v>
      </c>
    </row>
    <row r="125" customFormat="false" ht="15" hidden="false" customHeight="false" outlineLevel="0" collapsed="false">
      <c r="A125" s="4" t="s">
        <v>73</v>
      </c>
      <c r="B125" s="4" t="s">
        <v>69</v>
      </c>
      <c r="C125" s="23" t="n">
        <f aca="false">SUMIFS(Presupuesto!$F$5:$F$231,Presupuesto!$I$5:$I$231,$A125,Presupuesto!$E$5:$E$231,$B125)</f>
        <v>48</v>
      </c>
      <c r="D125" s="5" t="n">
        <f aca="false">SUMIFS(Presupuesto!$H$5:$H$231,Presupuesto!$I$5:$I$231,$A125,Presupuesto!$E$5:$E$231,$B125)</f>
        <v>40800000</v>
      </c>
      <c r="E125" s="24" t="n">
        <f aca="false">COUNTIFS(Presupuesto!$I$5:$I$231,$A125,Presupuesto!$E$5:$E$231,$B125)</f>
        <v>1</v>
      </c>
    </row>
    <row r="126" customFormat="false" ht="15" hidden="false" customHeight="false" outlineLevel="0" collapsed="false">
      <c r="A126" s="4" t="s">
        <v>481</v>
      </c>
      <c r="B126" s="4" t="s">
        <v>82</v>
      </c>
      <c r="C126" s="23" t="n">
        <f aca="false">SUMIFS(Presupuesto!$F$5:$F$231,Presupuesto!$I$5:$I$231,$A126,Presupuesto!$E$5:$E$231,$B126)</f>
        <v>1</v>
      </c>
      <c r="D126" s="5" t="n">
        <f aca="false">SUMIFS(Presupuesto!$H$5:$H$231,Presupuesto!$I$5:$I$231,$A126,Presupuesto!$E$5:$E$231,$B126)</f>
        <v>38000000</v>
      </c>
      <c r="E126" s="24" t="n">
        <f aca="false">COUNTIFS(Presupuesto!$I$5:$I$231,$A126,Presupuesto!$E$5:$E$231,$B126)</f>
        <v>1</v>
      </c>
    </row>
    <row r="127" customFormat="false" ht="15" hidden="false" customHeight="false" outlineLevel="0" collapsed="false">
      <c r="A127" s="4" t="s">
        <v>382</v>
      </c>
      <c r="B127" s="4" t="s">
        <v>82</v>
      </c>
      <c r="C127" s="23" t="n">
        <f aca="false">SUMIFS(Presupuesto!$F$5:$F$231,Presupuesto!$I$5:$I$231,$A127,Presupuesto!$E$5:$E$231,$B127)</f>
        <v>1</v>
      </c>
      <c r="D127" s="5" t="n">
        <f aca="false">SUMIFS(Presupuesto!$H$5:$H$231,Presupuesto!$I$5:$I$231,$A127,Presupuesto!$E$5:$E$231,$B127)</f>
        <v>160000000</v>
      </c>
      <c r="E127" s="24" t="n">
        <f aca="false">COUNTIFS(Presupuesto!$I$5:$I$231,$A127,Presupuesto!$E$5:$E$231,$B127)</f>
        <v>1</v>
      </c>
    </row>
    <row r="128" customFormat="false" ht="15" hidden="false" customHeight="false" outlineLevel="0" collapsed="false">
      <c r="A128" s="4" t="s">
        <v>591</v>
      </c>
      <c r="B128" s="4" t="s">
        <v>103</v>
      </c>
      <c r="C128" s="23" t="n">
        <f aca="false">SUMIFS(Presupuesto!$F$5:$F$231,Presupuesto!$I$5:$I$231,$A128,Presupuesto!$E$5:$E$231,$B128)</f>
        <v>4520511.08</v>
      </c>
      <c r="D128" s="5" t="n">
        <f aca="false">SUMIFS(Presupuesto!$H$5:$H$231,Presupuesto!$I$5:$I$231,$A128,Presupuesto!$E$5:$E$231,$B128)</f>
        <v>20342299.86</v>
      </c>
      <c r="E128" s="24" t="n">
        <f aca="false">COUNTIFS(Presupuesto!$I$5:$I$231,$A128,Presupuesto!$E$5:$E$231,$B128)</f>
        <v>1</v>
      </c>
    </row>
    <row r="129" customFormat="false" ht="15" hidden="false" customHeight="false" outlineLevel="0" collapsed="false">
      <c r="A129" s="4" t="s">
        <v>235</v>
      </c>
      <c r="B129" s="4" t="s">
        <v>60</v>
      </c>
      <c r="C129" s="23" t="n">
        <f aca="false">SUMIFS(Presupuesto!$F$5:$F$231,Presupuesto!$I$5:$I$231,$A129,Presupuesto!$E$5:$E$231,$B129)</f>
        <v>8591.7024</v>
      </c>
      <c r="D129" s="5" t="n">
        <f aca="false">SUMIFS(Presupuesto!$H$5:$H$231,Presupuesto!$I$5:$I$231,$A129,Presupuesto!$E$5:$E$231,$B129)</f>
        <v>58423576.32</v>
      </c>
      <c r="E129" s="24" t="n">
        <f aca="false">COUNTIFS(Presupuesto!$I$5:$I$231,$A129,Presupuesto!$E$5:$E$231,$B129)</f>
        <v>1</v>
      </c>
    </row>
    <row r="130" customFormat="false" ht="15" hidden="false" customHeight="false" outlineLevel="0" collapsed="false">
      <c r="A130" s="4" t="s">
        <v>570</v>
      </c>
      <c r="B130" s="4" t="s">
        <v>60</v>
      </c>
      <c r="C130" s="23" t="n">
        <f aca="false">SUMIFS(Presupuesto!$F$5:$F$231,Presupuesto!$I$5:$I$231,$A130,Presupuesto!$E$5:$E$231,$B130)</f>
        <v>41939.34</v>
      </c>
      <c r="D130" s="5" t="n">
        <f aca="false">SUMIFS(Presupuesto!$H$5:$H$231,Presupuesto!$I$5:$I$231,$A130,Presupuesto!$E$5:$E$231,$B130)</f>
        <v>10904228.4</v>
      </c>
      <c r="E130" s="24" t="n">
        <f aca="false">COUNTIFS(Presupuesto!$I$5:$I$231,$A130,Presupuesto!$E$5:$E$231,$B130)</f>
        <v>1</v>
      </c>
    </row>
    <row r="131" customFormat="false" ht="15" hidden="false" customHeight="false" outlineLevel="0" collapsed="false">
      <c r="A131" s="4" t="s">
        <v>567</v>
      </c>
      <c r="B131" s="4" t="s">
        <v>93</v>
      </c>
      <c r="C131" s="23" t="n">
        <f aca="false">SUMIFS(Presupuesto!$F$5:$F$231,Presupuesto!$I$5:$I$231,$A131,Presupuesto!$E$5:$E$231,$B131)</f>
        <v>25163.604</v>
      </c>
      <c r="D131" s="5" t="n">
        <f aca="false">SUMIFS(Presupuesto!$H$5:$H$231,Presupuesto!$I$5:$I$231,$A131,Presupuesto!$E$5:$E$231,$B131)</f>
        <v>23905423.8</v>
      </c>
      <c r="E131" s="24" t="n">
        <f aca="false">COUNTIFS(Presupuesto!$I$5:$I$231,$A131,Presupuesto!$E$5:$E$231,$B131)</f>
        <v>1</v>
      </c>
    </row>
    <row r="132" customFormat="false" ht="15" hidden="false" customHeight="false" outlineLevel="0" collapsed="false">
      <c r="A132" s="4" t="s">
        <v>371</v>
      </c>
      <c r="B132" s="4" t="s">
        <v>60</v>
      </c>
      <c r="C132" s="23" t="n">
        <f aca="false">SUMIFS(Presupuesto!$F$5:$F$231,Presupuesto!$I$5:$I$231,$A132,Presupuesto!$E$5:$E$231,$B132)</f>
        <v>243232.9578</v>
      </c>
      <c r="D132" s="5" t="n">
        <f aca="false">SUMIFS(Presupuesto!$H$5:$H$231,Presupuesto!$I$5:$I$231,$A132,Presupuesto!$E$5:$E$231,$B132)</f>
        <v>238368298.644</v>
      </c>
      <c r="E132" s="24" t="n">
        <f aca="false">COUNTIFS(Presupuesto!$I$5:$I$231,$A132,Presupuesto!$E$5:$E$231,$B132)</f>
        <v>1</v>
      </c>
    </row>
    <row r="133" customFormat="false" ht="15" hidden="false" customHeight="false" outlineLevel="0" collapsed="false">
      <c r="A133" s="4" t="s">
        <v>332</v>
      </c>
      <c r="B133" s="4" t="s">
        <v>60</v>
      </c>
      <c r="C133" s="23" t="n">
        <f aca="false">SUMIFS(Presupuesto!$F$5:$F$231,Presupuesto!$I$5:$I$231,$A133,Presupuesto!$E$5:$E$231,$B133)</f>
        <v>124499.63</v>
      </c>
      <c r="D133" s="5" t="n">
        <f aca="false">SUMIFS(Presupuesto!$H$5:$H$231,Presupuesto!$I$5:$I$231,$A133,Presupuesto!$E$5:$E$231,$B133)</f>
        <v>205424389.5</v>
      </c>
      <c r="E133" s="24" t="n">
        <f aca="false">COUNTIFS(Presupuesto!$I$5:$I$231,$A133,Presupuesto!$E$5:$E$231,$B133)</f>
        <v>1</v>
      </c>
    </row>
    <row r="134" customFormat="false" ht="15" hidden="false" customHeight="false" outlineLevel="0" collapsed="false">
      <c r="A134" s="4" t="s">
        <v>607</v>
      </c>
      <c r="B134" s="4" t="s">
        <v>116</v>
      </c>
      <c r="C134" s="23" t="n">
        <f aca="false">SUMIFS(Presupuesto!$F$5:$F$231,Presupuesto!$I$5:$I$231,$A134,Presupuesto!$E$5:$E$231,$B134)</f>
        <v>521490.5350625</v>
      </c>
      <c r="D134" s="5" t="n">
        <f aca="false">SUMIFS(Presupuesto!$H$5:$H$231,Presupuesto!$I$5:$I$231,$A134,Presupuesto!$E$5:$E$231,$B134)</f>
        <v>44326695.4803125</v>
      </c>
      <c r="E134" s="24" t="n">
        <f aca="false">COUNTIFS(Presupuesto!$I$5:$I$231,$A134,Presupuesto!$E$5:$E$231,$B134)</f>
        <v>1</v>
      </c>
    </row>
    <row r="135" customFormat="false" ht="15" hidden="false" customHeight="false" outlineLevel="0" collapsed="false">
      <c r="A135" s="4" t="s">
        <v>496</v>
      </c>
      <c r="B135" s="4" t="s">
        <v>103</v>
      </c>
      <c r="C135" s="23" t="n">
        <f aca="false">SUMIFS(Presupuesto!$F$5:$F$231,Presupuesto!$I$5:$I$231,$A135,Presupuesto!$E$5:$E$231,$B135)</f>
        <v>320</v>
      </c>
      <c r="D135" s="5" t="n">
        <f aca="false">SUMIFS(Presupuesto!$H$5:$H$231,Presupuesto!$I$5:$I$231,$A135,Presupuesto!$E$5:$E$231,$B135)</f>
        <v>51200000</v>
      </c>
      <c r="E135" s="24" t="n">
        <f aca="false">COUNTIFS(Presupuesto!$I$5:$I$231,$A135,Presupuesto!$E$5:$E$231,$B135)</f>
        <v>1</v>
      </c>
    </row>
    <row r="136" customFormat="false" ht="15" hidden="false" customHeight="false" outlineLevel="0" collapsed="false">
      <c r="A136" s="4" t="s">
        <v>150</v>
      </c>
      <c r="B136" s="4" t="s">
        <v>116</v>
      </c>
      <c r="C136" s="23" t="n">
        <f aca="false">SUMIFS(Presupuesto!$F$5:$F$231,Presupuesto!$I$5:$I$231,$A136,Presupuesto!$E$5:$E$231,$B136)</f>
        <v>8113951.98</v>
      </c>
      <c r="D136" s="5" t="n">
        <f aca="false">SUMIFS(Presupuesto!$H$5:$H$231,Presupuesto!$I$5:$I$231,$A136,Presupuesto!$E$5:$E$231,$B136)</f>
        <v>632888254.44</v>
      </c>
      <c r="E136" s="24" t="n">
        <f aca="false">COUNTIFS(Presupuesto!$I$5:$I$231,$A136,Presupuesto!$E$5:$E$231,$B136)</f>
        <v>3</v>
      </c>
    </row>
    <row r="137" customFormat="false" ht="15" hidden="false" customHeight="false" outlineLevel="0" collapsed="false">
      <c r="A137" s="4" t="s">
        <v>104</v>
      </c>
      <c r="B137" s="4" t="s">
        <v>103</v>
      </c>
      <c r="C137" s="23" t="n">
        <f aca="false">SUMIFS(Presupuesto!$F$5:$F$231,Presupuesto!$I$5:$I$231,$A137,Presupuesto!$E$5:$E$231,$B137)</f>
        <v>1706.53</v>
      </c>
      <c r="D137" s="5" t="n">
        <f aca="false">SUMIFS(Presupuesto!$H$5:$H$231,Presupuesto!$I$5:$I$231,$A137,Presupuesto!$E$5:$E$231,$B137)</f>
        <v>64848140</v>
      </c>
      <c r="E137" s="24" t="n">
        <f aca="false">COUNTIFS(Presupuesto!$I$5:$I$231,$A137,Presupuesto!$E$5:$E$231,$B137)</f>
        <v>1</v>
      </c>
    </row>
    <row r="138" customFormat="false" ht="15" hidden="false" customHeight="false" outlineLevel="0" collapsed="false">
      <c r="A138" s="4" t="s">
        <v>397</v>
      </c>
      <c r="B138" s="4" t="s">
        <v>82</v>
      </c>
      <c r="C138" s="23" t="n">
        <f aca="false">SUMIFS(Presupuesto!$F$5:$F$231,Presupuesto!$I$5:$I$231,$A138,Presupuesto!$E$5:$E$231,$B138)</f>
        <v>1</v>
      </c>
      <c r="D138" s="5" t="n">
        <f aca="false">SUMIFS(Presupuesto!$H$5:$H$231,Presupuesto!$I$5:$I$231,$A138,Presupuesto!$E$5:$E$231,$B138)</f>
        <v>520000000</v>
      </c>
      <c r="E138" s="24" t="n">
        <f aca="false">COUNTIFS(Presupuesto!$I$5:$I$231,$A138,Presupuesto!$E$5:$E$231,$B138)</f>
        <v>1</v>
      </c>
    </row>
    <row r="139" customFormat="false" ht="15" hidden="false" customHeight="false" outlineLevel="0" collapsed="false">
      <c r="A139" s="4" t="s">
        <v>598</v>
      </c>
      <c r="B139" s="4" t="s">
        <v>60</v>
      </c>
      <c r="C139" s="23" t="n">
        <f aca="false">SUMIFS(Presupuesto!$F$5:$F$231,Presupuesto!$I$5:$I$231,$A139,Presupuesto!$E$5:$E$231,$B139)</f>
        <v>80577.7030625</v>
      </c>
      <c r="D139" s="5" t="n">
        <f aca="false">SUMIFS(Presupuesto!$H$5:$H$231,Presupuesto!$I$5:$I$231,$A139,Presupuesto!$E$5:$E$231,$B139)</f>
        <v>33842635.28625</v>
      </c>
      <c r="E139" s="24" t="n">
        <f aca="false">COUNTIFS(Presupuesto!$I$5:$I$231,$A139,Presupuesto!$E$5:$E$231,$B139)</f>
        <v>1</v>
      </c>
    </row>
    <row r="140" customFormat="false" ht="15" hidden="false" customHeight="false" outlineLevel="0" collapsed="false">
      <c r="A140" s="4" t="s">
        <v>436</v>
      </c>
      <c r="B140" s="4" t="s">
        <v>82</v>
      </c>
      <c r="C140" s="23" t="n">
        <f aca="false">SUMIFS(Presupuesto!$F$5:$F$231,Presupuesto!$I$5:$I$231,$A140,Presupuesto!$E$5:$E$231,$B140)</f>
        <v>1</v>
      </c>
      <c r="D140" s="5" t="n">
        <f aca="false">SUMIFS(Presupuesto!$H$5:$H$231,Presupuesto!$I$5:$I$231,$A140,Presupuesto!$E$5:$E$231,$B140)</f>
        <v>48000000</v>
      </c>
      <c r="E140" s="24" t="n">
        <f aca="false">COUNTIFS(Presupuesto!$I$5:$I$231,$A140,Presupuesto!$E$5:$E$231,$B140)</f>
        <v>1</v>
      </c>
    </row>
    <row r="141" customFormat="false" ht="15" hidden="false" customHeight="false" outlineLevel="0" collapsed="false">
      <c r="A141" s="4" t="s">
        <v>453</v>
      </c>
      <c r="B141" s="4" t="s">
        <v>60</v>
      </c>
      <c r="C141" s="23" t="n">
        <f aca="false">SUMIFS(Presupuesto!$F$5:$F$231,Presupuesto!$I$5:$I$231,$A141,Presupuesto!$E$5:$E$231,$B141)</f>
        <v>248185.55</v>
      </c>
      <c r="D141" s="5" t="n">
        <f aca="false">SUMIFS(Presupuesto!$H$5:$H$231,Presupuesto!$I$5:$I$231,$A141,Presupuesto!$E$5:$E$231,$B141)</f>
        <v>64528243</v>
      </c>
      <c r="E141" s="24" t="n">
        <f aca="false">COUNTIFS(Presupuesto!$I$5:$I$231,$A141,Presupuesto!$E$5:$E$231,$B141)</f>
        <v>1</v>
      </c>
    </row>
    <row r="142" customFormat="false" ht="15" hidden="false" customHeight="false" outlineLevel="0" collapsed="false">
      <c r="A142" s="4" t="s">
        <v>442</v>
      </c>
      <c r="B142" s="4" t="s">
        <v>60</v>
      </c>
      <c r="C142" s="23" t="n">
        <f aca="false">SUMIFS(Presupuesto!$F$5:$F$231,Presupuesto!$I$5:$I$231,$A142,Presupuesto!$E$5:$E$231,$B142)</f>
        <v>559092.04</v>
      </c>
      <c r="D142" s="5" t="n">
        <f aca="false">SUMIFS(Presupuesto!$H$5:$H$231,Presupuesto!$I$5:$I$231,$A142,Presupuesto!$E$5:$E$231,$B142)</f>
        <v>565739034</v>
      </c>
      <c r="E142" s="24" t="n">
        <f aca="false">COUNTIFS(Presupuesto!$I$5:$I$231,$A142,Presupuesto!$E$5:$E$231,$B142)</f>
        <v>2</v>
      </c>
    </row>
    <row r="143" customFormat="false" ht="15" hidden="false" customHeight="false" outlineLevel="0" collapsed="false">
      <c r="A143" s="4" t="s">
        <v>472</v>
      </c>
      <c r="B143" s="4" t="s">
        <v>60</v>
      </c>
      <c r="C143" s="23" t="n">
        <f aca="false">SUMIFS(Presupuesto!$F$5:$F$231,Presupuesto!$I$5:$I$231,$A143,Presupuesto!$E$5:$E$231,$B143)</f>
        <v>908119.22</v>
      </c>
      <c r="D143" s="5" t="n">
        <f aca="false">SUMIFS(Presupuesto!$H$5:$H$231,Presupuesto!$I$5:$I$231,$A143,Presupuesto!$E$5:$E$231,$B143)</f>
        <v>472221994.4</v>
      </c>
      <c r="E143" s="24" t="n">
        <f aca="false">COUNTIFS(Presupuesto!$I$5:$I$231,$A143,Presupuesto!$E$5:$E$231,$B143)</f>
        <v>1</v>
      </c>
    </row>
    <row r="144" customFormat="false" ht="15" hidden="false" customHeight="false" outlineLevel="0" collapsed="false">
      <c r="A144" s="4" t="s">
        <v>117</v>
      </c>
      <c r="B144" s="4" t="s">
        <v>116</v>
      </c>
      <c r="C144" s="23" t="n">
        <f aca="false">SUMIFS(Presupuesto!$F$5:$F$231,Presupuesto!$I$5:$I$231,$A144,Presupuesto!$E$5:$E$231,$B144)</f>
        <v>79259025.53</v>
      </c>
      <c r="D144" s="5" t="n">
        <f aca="false">SUMIFS(Presupuesto!$H$5:$H$231,Presupuesto!$I$5:$I$231,$A144,Presupuesto!$E$5:$E$231,$B144)</f>
        <v>2457029791.43</v>
      </c>
      <c r="E144" s="24" t="n">
        <f aca="false">COUNTIFS(Presupuesto!$I$5:$I$231,$A144,Presupuesto!$E$5:$E$231,$B144)</f>
        <v>12</v>
      </c>
    </row>
    <row r="145" customFormat="false" ht="15" hidden="false" customHeight="false" outlineLevel="0" collapsed="false">
      <c r="A145" s="4" t="s">
        <v>469</v>
      </c>
      <c r="B145" s="4" t="s">
        <v>60</v>
      </c>
      <c r="C145" s="23" t="n">
        <f aca="false">SUMIFS(Presupuesto!$F$5:$F$231,Presupuesto!$I$5:$I$231,$A145,Presupuesto!$E$5:$E$231,$B145)</f>
        <v>349027.18</v>
      </c>
      <c r="D145" s="5" t="n">
        <f aca="false">SUMIFS(Presupuesto!$H$5:$H$231,Presupuesto!$I$5:$I$231,$A145,Presupuesto!$E$5:$E$231,$B145)</f>
        <v>146591415.6</v>
      </c>
      <c r="E145" s="24" t="n">
        <f aca="false">COUNTIFS(Presupuesto!$I$5:$I$231,$A145,Presupuesto!$E$5:$E$231,$B145)</f>
        <v>1</v>
      </c>
    </row>
    <row r="146" customFormat="false" ht="15" hidden="false" customHeight="false" outlineLevel="0" collapsed="false">
      <c r="A146" s="4" t="s">
        <v>478</v>
      </c>
      <c r="B146" s="4" t="s">
        <v>82</v>
      </c>
      <c r="C146" s="23" t="n">
        <f aca="false">SUMIFS(Presupuesto!$F$5:$F$231,Presupuesto!$I$5:$I$231,$A146,Presupuesto!$E$5:$E$231,$B146)</f>
        <v>1</v>
      </c>
      <c r="D146" s="5" t="n">
        <f aca="false">SUMIFS(Presupuesto!$H$5:$H$231,Presupuesto!$I$5:$I$231,$A146,Presupuesto!$E$5:$E$231,$B146)</f>
        <v>260000000</v>
      </c>
      <c r="E146" s="24" t="n">
        <f aca="false">COUNTIFS(Presupuesto!$I$5:$I$231,$A146,Presupuesto!$E$5:$E$231,$B146)</f>
        <v>1</v>
      </c>
    </row>
    <row r="147" customFormat="false" ht="15" hidden="false" customHeight="false" outlineLevel="0" collapsed="false">
      <c r="A147" s="4" t="s">
        <v>305</v>
      </c>
      <c r="B147" s="4" t="s">
        <v>60</v>
      </c>
      <c r="C147" s="23" t="n">
        <f aca="false">SUMIFS(Presupuesto!$F$5:$F$231,Presupuesto!$I$5:$I$231,$A147,Presupuesto!$E$5:$E$231,$B147)</f>
        <v>108586.03</v>
      </c>
      <c r="D147" s="5" t="n">
        <f aca="false">SUMIFS(Presupuesto!$H$5:$H$231,Presupuesto!$I$5:$I$231,$A147,Presupuesto!$E$5:$E$231,$B147)</f>
        <v>1064143094</v>
      </c>
      <c r="E147" s="24" t="n">
        <f aca="false">COUNTIFS(Presupuesto!$I$5:$I$231,$A147,Presupuesto!$E$5:$E$231,$B147)</f>
        <v>1</v>
      </c>
    </row>
    <row r="148" customFormat="false" ht="15" hidden="false" customHeight="false" outlineLevel="0" collapsed="false">
      <c r="A148" s="4" t="s">
        <v>296</v>
      </c>
      <c r="B148" s="4" t="s">
        <v>60</v>
      </c>
      <c r="C148" s="23" t="n">
        <f aca="false">SUMIFS(Presupuesto!$F$5:$F$231,Presupuesto!$I$5:$I$231,$A148,Presupuesto!$E$5:$E$231,$B148)</f>
        <v>7486.78</v>
      </c>
      <c r="D148" s="5" t="n">
        <f aca="false">SUMIFS(Presupuesto!$H$5:$H$231,Presupuesto!$I$5:$I$231,$A148,Presupuesto!$E$5:$E$231,$B148)</f>
        <v>123531870</v>
      </c>
      <c r="E148" s="24" t="n">
        <f aca="false">COUNTIFS(Presupuesto!$I$5:$I$231,$A148,Presupuesto!$E$5:$E$231,$B148)</f>
        <v>1</v>
      </c>
    </row>
    <row r="149" customFormat="false" ht="15" hidden="false" customHeight="false" outlineLevel="0" collapsed="false">
      <c r="A149" s="4" t="s">
        <v>302</v>
      </c>
      <c r="B149" s="4" t="s">
        <v>60</v>
      </c>
      <c r="C149" s="23" t="n">
        <f aca="false">SUMIFS(Presupuesto!$F$5:$F$231,Presupuesto!$I$5:$I$231,$A149,Presupuesto!$E$5:$E$231,$B149)</f>
        <v>29798.125</v>
      </c>
      <c r="D149" s="5" t="n">
        <f aca="false">SUMIFS(Presupuesto!$H$5:$H$231,Presupuesto!$I$5:$I$231,$A149,Presupuesto!$E$5:$E$231,$B149)</f>
        <v>581063437.5</v>
      </c>
      <c r="E149" s="24" t="n">
        <f aca="false">COUNTIFS(Presupuesto!$I$5:$I$231,$A149,Presupuesto!$E$5:$E$231,$B149)</f>
        <v>1</v>
      </c>
    </row>
    <row r="150" customFormat="false" ht="15" hidden="false" customHeight="false" outlineLevel="0" collapsed="false">
      <c r="A150" s="4" t="s">
        <v>287</v>
      </c>
      <c r="B150" s="4" t="s">
        <v>60</v>
      </c>
      <c r="C150" s="23" t="n">
        <f aca="false">SUMIFS(Presupuesto!$F$5:$F$231,Presupuesto!$I$5:$I$231,$A150,Presupuesto!$E$5:$E$231,$B150)</f>
        <v>114387.63</v>
      </c>
      <c r="D150" s="5" t="n">
        <f aca="false">SUMIFS(Presupuesto!$H$5:$H$231,Presupuesto!$I$5:$I$231,$A150,Presupuesto!$E$5:$E$231,$B150)</f>
        <v>1544233005</v>
      </c>
      <c r="E150" s="24" t="n">
        <f aca="false">COUNTIFS(Presupuesto!$I$5:$I$231,$A150,Presupuesto!$E$5:$E$231,$B150)</f>
        <v>1</v>
      </c>
    </row>
    <row r="151" customFormat="false" ht="15" hidden="false" customHeight="false" outlineLevel="0" collapsed="false">
      <c r="A151" s="4" t="s">
        <v>299</v>
      </c>
      <c r="B151" s="4" t="s">
        <v>60</v>
      </c>
      <c r="C151" s="23" t="n">
        <f aca="false">SUMIFS(Presupuesto!$F$5:$F$231,Presupuesto!$I$5:$I$231,$A151,Presupuesto!$E$5:$E$231,$B151)</f>
        <v>101828.215</v>
      </c>
      <c r="D151" s="5" t="n">
        <f aca="false">SUMIFS(Presupuesto!$H$5:$H$231,Presupuesto!$I$5:$I$231,$A151,Presupuesto!$E$5:$E$231,$B151)</f>
        <v>1272852687.5</v>
      </c>
      <c r="E151" s="24" t="n">
        <f aca="false">COUNTIFS(Presupuesto!$I$5:$I$231,$A151,Presupuesto!$E$5:$E$231,$B151)</f>
        <v>2</v>
      </c>
    </row>
    <row r="152" customFormat="false" ht="15" hidden="false" customHeight="false" outlineLevel="0" collapsed="false">
      <c r="A152" s="4" t="s">
        <v>368</v>
      </c>
      <c r="B152" s="4" t="s">
        <v>60</v>
      </c>
      <c r="C152" s="23" t="n">
        <f aca="false">SUMIFS(Presupuesto!$F$5:$F$231,Presupuesto!$I$5:$I$231,$A152,Presupuesto!$E$5:$E$231,$B152)</f>
        <v>119234.13</v>
      </c>
      <c r="D152" s="5" t="n">
        <f aca="false">SUMIFS(Presupuesto!$H$5:$H$231,Presupuesto!$I$5:$I$231,$A152,Presupuesto!$E$5:$E$231,$B152)</f>
        <v>500783346</v>
      </c>
      <c r="E152" s="24" t="n">
        <f aca="false">COUNTIFS(Presupuesto!$I$5:$I$231,$A152,Presupuesto!$E$5:$E$231,$B152)</f>
        <v>1</v>
      </c>
    </row>
    <row r="153" customFormat="false" ht="15" hidden="false" customHeight="false" outlineLevel="0" collapsed="false">
      <c r="A153" s="4" t="s">
        <v>293</v>
      </c>
      <c r="B153" s="4" t="s">
        <v>60</v>
      </c>
      <c r="C153" s="23" t="n">
        <f aca="false">SUMIFS(Presupuesto!$F$5:$F$231,Presupuesto!$I$5:$I$231,$A153,Presupuesto!$E$5:$E$231,$B153)</f>
        <v>3049.53</v>
      </c>
      <c r="D153" s="5" t="n">
        <f aca="false">SUMIFS(Presupuesto!$H$5:$H$231,Presupuesto!$I$5:$I$231,$A153,Presupuesto!$E$5:$E$231,$B153)</f>
        <v>29885394</v>
      </c>
      <c r="E153" s="24" t="n">
        <f aca="false">COUNTIFS(Presupuesto!$I$5:$I$231,$A153,Presupuesto!$E$5:$E$231,$B153)</f>
        <v>1</v>
      </c>
    </row>
    <row r="154" customFormat="false" ht="15" hidden="false" customHeight="false" outlineLevel="0" collapsed="false">
      <c r="A154" s="4" t="s">
        <v>316</v>
      </c>
      <c r="B154" s="4" t="s">
        <v>65</v>
      </c>
      <c r="C154" s="23" t="n">
        <f aca="false">SUMIFS(Presupuesto!$F$5:$F$231,Presupuesto!$I$5:$I$231,$A154,Presupuesto!$E$5:$E$231,$B154)</f>
        <v>32302.86</v>
      </c>
      <c r="D154" s="5" t="n">
        <f aca="false">SUMIFS(Presupuesto!$H$5:$H$231,Presupuesto!$I$5:$I$231,$A154,Presupuesto!$E$5:$E$231,$B154)</f>
        <v>206440364</v>
      </c>
      <c r="E154" s="24" t="n">
        <f aca="false">COUNTIFS(Presupuesto!$I$5:$I$231,$A154,Presupuesto!$E$5:$E$231,$B154)</f>
        <v>3</v>
      </c>
    </row>
    <row r="155" customFormat="false" ht="15" hidden="false" customHeight="false" outlineLevel="0" collapsed="false">
      <c r="A155" s="4" t="s">
        <v>576</v>
      </c>
      <c r="B155" s="4" t="s">
        <v>103</v>
      </c>
      <c r="C155" s="23" t="n">
        <f aca="false">SUMIFS(Presupuesto!$F$5:$F$231,Presupuesto!$I$5:$I$231,$A155,Presupuesto!$E$5:$E$231,$B155)</f>
        <v>1261</v>
      </c>
      <c r="D155" s="5" t="n">
        <f aca="false">SUMIFS(Presupuesto!$H$5:$H$231,Presupuesto!$I$5:$I$231,$A155,Presupuesto!$E$5:$E$231,$B155)</f>
        <v>35308000</v>
      </c>
      <c r="E155" s="24" t="n">
        <f aca="false">COUNTIFS(Presupuesto!$I$5:$I$231,$A155,Presupuesto!$E$5:$E$231,$B155)</f>
        <v>1</v>
      </c>
    </row>
    <row r="156" customFormat="false" ht="15" hidden="false" customHeight="false" outlineLevel="0" collapsed="false">
      <c r="A156" s="8" t="s">
        <v>646</v>
      </c>
      <c r="D156" s="9" t="n">
        <f aca="false">SUM(D4:D155)</f>
        <v>37234597028.1846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4" min="3" style="0" width="14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5" t="s">
        <v>647</v>
      </c>
    </row>
    <row r="3" customFormat="false" ht="15" hidden="false" customHeight="false" outlineLevel="0" collapsed="false">
      <c r="A3" s="3" t="s">
        <v>50</v>
      </c>
      <c r="B3" s="3" t="s">
        <v>648</v>
      </c>
      <c r="C3" s="3" t="s">
        <v>649</v>
      </c>
      <c r="D3" s="3" t="s">
        <v>52</v>
      </c>
      <c r="E3" s="3" t="s">
        <v>650</v>
      </c>
    </row>
    <row r="4" customFormat="false" ht="15" hidden="false" customHeight="false" outlineLevel="0" collapsed="false">
      <c r="A4" s="4" t="s">
        <v>651</v>
      </c>
      <c r="B4" s="4" t="s">
        <v>652</v>
      </c>
      <c r="C4" s="25" t="n">
        <v>18.5</v>
      </c>
      <c r="D4" s="4" t="s">
        <v>653</v>
      </c>
      <c r="E4" s="4" t="s">
        <v>654</v>
      </c>
    </row>
    <row r="5" customFormat="false" ht="15" hidden="false" customHeight="false" outlineLevel="0" collapsed="false">
      <c r="A5" s="4" t="s">
        <v>655</v>
      </c>
      <c r="B5" s="4" t="s">
        <v>656</v>
      </c>
      <c r="C5" s="26" t="n">
        <v>0.12</v>
      </c>
      <c r="D5" s="4" t="s">
        <v>657</v>
      </c>
      <c r="E5" s="4" t="s">
        <v>658</v>
      </c>
    </row>
    <row r="6" customFormat="false" ht="15" hidden="false" customHeight="false" outlineLevel="0" collapsed="false">
      <c r="A6" s="4" t="s">
        <v>659</v>
      </c>
      <c r="B6" s="4" t="s">
        <v>28</v>
      </c>
      <c r="C6" s="26" t="n">
        <v>0.08</v>
      </c>
      <c r="D6" s="4" t="s">
        <v>657</v>
      </c>
      <c r="E6" s="4" t="s">
        <v>660</v>
      </c>
    </row>
    <row r="7" customFormat="false" ht="15" hidden="false" customHeight="false" outlineLevel="0" collapsed="false">
      <c r="A7" s="4" t="s">
        <v>661</v>
      </c>
      <c r="B7" s="4" t="s">
        <v>29</v>
      </c>
      <c r="C7" s="27" t="n">
        <v>0.06</v>
      </c>
      <c r="D7" s="4" t="s">
        <v>657</v>
      </c>
      <c r="E7" s="4" t="s">
        <v>662</v>
      </c>
    </row>
    <row r="8" customFormat="false" ht="15" hidden="false" customHeight="false" outlineLevel="0" collapsed="false">
      <c r="A8" s="4" t="s">
        <v>663</v>
      </c>
      <c r="B8" s="4" t="s">
        <v>664</v>
      </c>
      <c r="C8" s="27" t="n">
        <v>0.015</v>
      </c>
      <c r="D8" s="4" t="s">
        <v>657</v>
      </c>
      <c r="E8" s="4"/>
    </row>
    <row r="9" customFormat="false" ht="15" hidden="false" customHeight="false" outlineLevel="0" collapsed="false">
      <c r="A9" s="4" t="s">
        <v>665</v>
      </c>
      <c r="B9" s="4" t="s">
        <v>666</v>
      </c>
      <c r="C9" s="27" t="n">
        <v>0.025</v>
      </c>
      <c r="D9" s="4" t="s">
        <v>657</v>
      </c>
      <c r="E9" s="4"/>
    </row>
    <row r="10" customFormat="false" ht="15" hidden="false" customHeight="false" outlineLevel="0" collapsed="false">
      <c r="A10" s="4" t="s">
        <v>667</v>
      </c>
      <c r="B10" s="4" t="s">
        <v>33</v>
      </c>
      <c r="C10" s="26" t="n">
        <v>0.1</v>
      </c>
      <c r="D10" s="4" t="s">
        <v>657</v>
      </c>
      <c r="E10" s="4" t="s">
        <v>668</v>
      </c>
    </row>
    <row r="11" customFormat="false" ht="15" hidden="false" customHeight="false" outlineLevel="0" collapsed="false">
      <c r="A11" s="4" t="s">
        <v>669</v>
      </c>
      <c r="B11" s="4" t="s">
        <v>35</v>
      </c>
      <c r="C11" s="27" t="n">
        <v>0.16</v>
      </c>
      <c r="D11" s="4" t="s">
        <v>657</v>
      </c>
      <c r="E11" s="4"/>
    </row>
    <row r="12" customFormat="false" ht="15" hidden="false" customHeight="false" outlineLevel="0" collapsed="false">
      <c r="A12" s="4" t="s">
        <v>670</v>
      </c>
      <c r="B12" s="4" t="s">
        <v>671</v>
      </c>
      <c r="C12" s="28" t="n">
        <v>48</v>
      </c>
      <c r="D12" s="4" t="s">
        <v>670</v>
      </c>
      <c r="E12" s="4"/>
    </row>
    <row r="13" customFormat="false" ht="15" hidden="false" customHeight="false" outlineLevel="0" collapsed="false">
      <c r="A13" s="4" t="s">
        <v>672</v>
      </c>
      <c r="B13" s="4" t="s">
        <v>673</v>
      </c>
      <c r="C13" s="29" t="n">
        <v>1.25</v>
      </c>
      <c r="D13" s="4" t="s">
        <v>674</v>
      </c>
      <c r="E13" s="4"/>
    </row>
    <row r="14" customFormat="false" ht="15" hidden="false" customHeight="false" outlineLevel="0" collapsed="false">
      <c r="A14" s="4" t="s">
        <v>675</v>
      </c>
      <c r="B14" s="4" t="s">
        <v>676</v>
      </c>
      <c r="C14" s="29" t="n">
        <v>13</v>
      </c>
      <c r="D14" s="4" t="s">
        <v>65</v>
      </c>
      <c r="E14" s="4"/>
    </row>
    <row r="15" customFormat="false" ht="15" hidden="false" customHeight="false" outlineLevel="0" collapsed="false">
      <c r="A15" s="4" t="s">
        <v>677</v>
      </c>
      <c r="B15" s="4" t="s">
        <v>678</v>
      </c>
      <c r="C15" s="29" t="n">
        <v>18</v>
      </c>
      <c r="D15" s="4" t="s">
        <v>65</v>
      </c>
      <c r="E15" s="4"/>
    </row>
    <row r="16" customFormat="false" ht="15" hidden="false" customHeight="false" outlineLevel="0" collapsed="false">
      <c r="A16" s="4" t="s">
        <v>679</v>
      </c>
      <c r="B16" s="4" t="s">
        <v>680</v>
      </c>
      <c r="C16" s="29" t="n">
        <v>0.8</v>
      </c>
      <c r="D16" s="4" t="s">
        <v>65</v>
      </c>
      <c r="E16" s="4"/>
    </row>
    <row r="17" customFormat="false" ht="15" hidden="false" customHeight="false" outlineLevel="0" collapsed="false">
      <c r="A17" s="4" t="s">
        <v>681</v>
      </c>
      <c r="B17" s="4" t="s">
        <v>682</v>
      </c>
      <c r="C17" s="29" t="n">
        <v>0.9</v>
      </c>
      <c r="D17" s="4" t="s">
        <v>65</v>
      </c>
      <c r="E17" s="4"/>
    </row>
    <row r="18" customFormat="false" ht="15" hidden="false" customHeight="false" outlineLevel="0" collapsed="false">
      <c r="A18" s="4" t="s">
        <v>683</v>
      </c>
      <c r="B18" s="4" t="s">
        <v>684</v>
      </c>
      <c r="C18" s="28" t="n">
        <v>1291</v>
      </c>
      <c r="D18" s="4" t="s">
        <v>103</v>
      </c>
      <c r="E18" s="4" t="s">
        <v>685</v>
      </c>
    </row>
    <row r="19" customFormat="false" ht="15" hidden="false" customHeight="false" outlineLevel="0" collapsed="false">
      <c r="A19" s="4" t="s">
        <v>686</v>
      </c>
      <c r="B19" s="4" t="s">
        <v>687</v>
      </c>
      <c r="C19" s="29" t="n">
        <v>25</v>
      </c>
      <c r="D19" s="4" t="s">
        <v>65</v>
      </c>
      <c r="E19" s="4" t="s">
        <v>688</v>
      </c>
    </row>
    <row r="20" customFormat="false" ht="15" hidden="false" customHeight="false" outlineLevel="0" collapsed="false">
      <c r="A20" s="4" t="s">
        <v>689</v>
      </c>
      <c r="B20" s="4" t="s">
        <v>690</v>
      </c>
      <c r="C20" s="29" t="n">
        <v>0.25</v>
      </c>
      <c r="D20" s="4" t="s">
        <v>65</v>
      </c>
      <c r="E20" s="4"/>
    </row>
    <row r="21" customFormat="false" ht="15" hidden="false" customHeight="false" outlineLevel="0" collapsed="false">
      <c r="A21" s="4" t="s">
        <v>691</v>
      </c>
      <c r="B21" s="4" t="s">
        <v>692</v>
      </c>
      <c r="C21" s="29" t="n">
        <v>0.55</v>
      </c>
      <c r="D21" s="4" t="s">
        <v>65</v>
      </c>
      <c r="E21" s="4"/>
    </row>
    <row r="22" customFormat="false" ht="15" hidden="false" customHeight="false" outlineLevel="0" collapsed="false">
      <c r="A22" s="4" t="s">
        <v>693</v>
      </c>
      <c r="B22" s="4" t="s">
        <v>694</v>
      </c>
      <c r="C22" s="29" t="n">
        <v>1.15</v>
      </c>
      <c r="D22" s="4" t="s">
        <v>674</v>
      </c>
      <c r="E22" s="4"/>
    </row>
    <row r="23" customFormat="false" ht="15" hidden="false" customHeight="false" outlineLevel="0" collapsed="false">
      <c r="A23" s="4" t="s">
        <v>695</v>
      </c>
      <c r="B23" s="4" t="s">
        <v>696</v>
      </c>
      <c r="C23" s="29" t="n">
        <v>0.45</v>
      </c>
      <c r="D23" s="4" t="s">
        <v>65</v>
      </c>
      <c r="E23" s="4" t="s">
        <v>697</v>
      </c>
    </row>
    <row r="24" customFormat="false" ht="15" hidden="false" customHeight="false" outlineLevel="0" collapsed="false">
      <c r="A24" s="4" t="s">
        <v>698</v>
      </c>
      <c r="B24" s="4" t="s">
        <v>699</v>
      </c>
      <c r="C24" s="29" t="n">
        <v>0.35</v>
      </c>
      <c r="D24" s="4" t="s">
        <v>65</v>
      </c>
      <c r="E24" s="4"/>
    </row>
    <row r="25" customFormat="false" ht="15" hidden="false" customHeight="false" outlineLevel="0" collapsed="false">
      <c r="A25" s="4" t="s">
        <v>700</v>
      </c>
      <c r="B25" s="4" t="s">
        <v>701</v>
      </c>
      <c r="C25" s="29" t="n">
        <v>0.6</v>
      </c>
      <c r="D25" s="4" t="s">
        <v>65</v>
      </c>
      <c r="E25" s="4"/>
    </row>
    <row r="26" customFormat="false" ht="15" hidden="false" customHeight="false" outlineLevel="0" collapsed="false">
      <c r="A26" s="4" t="s">
        <v>702</v>
      </c>
      <c r="B26" s="4" t="s">
        <v>703</v>
      </c>
      <c r="C26" s="29" t="n">
        <v>0.3</v>
      </c>
      <c r="D26" s="4" t="s">
        <v>65</v>
      </c>
      <c r="E26" s="4" t="s">
        <v>704</v>
      </c>
    </row>
    <row r="27" customFormat="false" ht="15" hidden="false" customHeight="false" outlineLevel="0" collapsed="false">
      <c r="A27" s="4" t="s">
        <v>705</v>
      </c>
      <c r="B27" s="4" t="s">
        <v>706</v>
      </c>
      <c r="C27" s="29" t="n">
        <v>0.45</v>
      </c>
      <c r="D27" s="4" t="s">
        <v>65</v>
      </c>
      <c r="E27" s="4"/>
    </row>
    <row r="28" customFormat="false" ht="15" hidden="false" customHeight="false" outlineLevel="0" collapsed="false">
      <c r="A28" s="4" t="s">
        <v>707</v>
      </c>
      <c r="B28" s="4" t="s">
        <v>708</v>
      </c>
      <c r="C28" s="29" t="n">
        <v>4.32</v>
      </c>
      <c r="D28" s="4" t="s">
        <v>709</v>
      </c>
      <c r="E28" s="4"/>
    </row>
    <row r="29" customFormat="false" ht="15" hidden="false" customHeight="false" outlineLevel="0" collapsed="false">
      <c r="A29" s="4" t="s">
        <v>710</v>
      </c>
      <c r="B29" s="4" t="s">
        <v>711</v>
      </c>
      <c r="C29" s="29" t="n">
        <v>36.48</v>
      </c>
      <c r="D29" s="4" t="s">
        <v>709</v>
      </c>
      <c r="E29" s="4"/>
    </row>
    <row r="30" customFormat="false" ht="15" hidden="false" customHeight="false" outlineLevel="0" collapsed="false">
      <c r="A30" s="4" t="s">
        <v>712</v>
      </c>
      <c r="B30" s="4" t="s">
        <v>713</v>
      </c>
      <c r="C30" s="28" t="n">
        <v>542</v>
      </c>
      <c r="D30" s="4" t="s">
        <v>709</v>
      </c>
      <c r="E30" s="4" t="s">
        <v>714</v>
      </c>
    </row>
    <row r="31" customFormat="false" ht="15" hidden="false" customHeight="false" outlineLevel="0" collapsed="false">
      <c r="A31" s="4" t="s">
        <v>715</v>
      </c>
      <c r="B31" s="4" t="s">
        <v>716</v>
      </c>
      <c r="C31" s="28" t="n">
        <v>235</v>
      </c>
      <c r="D31" s="4" t="s">
        <v>709</v>
      </c>
      <c r="E31" s="4"/>
    </row>
    <row r="32" customFormat="false" ht="15" hidden="false" customHeight="false" outlineLevel="0" collapsed="false">
      <c r="A32" s="4" t="s">
        <v>717</v>
      </c>
      <c r="B32" s="4" t="s">
        <v>718</v>
      </c>
      <c r="C32" s="28" t="n">
        <v>650</v>
      </c>
      <c r="D32" s="4" t="s">
        <v>709</v>
      </c>
      <c r="E32" s="4" t="s">
        <v>719</v>
      </c>
    </row>
    <row r="33" customFormat="false" ht="15" hidden="false" customHeight="false" outlineLevel="0" collapsed="false">
      <c r="A33" s="4" t="s">
        <v>720</v>
      </c>
      <c r="B33" s="4" t="s">
        <v>721</v>
      </c>
      <c r="C33" s="28" t="n">
        <v>95</v>
      </c>
      <c r="D33" s="4" t="s">
        <v>722</v>
      </c>
      <c r="E33" s="4"/>
    </row>
    <row r="34" customFormat="false" ht="15" hidden="false" customHeight="false" outlineLevel="0" collapsed="false">
      <c r="A34" s="4" t="s">
        <v>723</v>
      </c>
      <c r="B34" s="4" t="s">
        <v>724</v>
      </c>
      <c r="C34" s="28" t="n">
        <v>120</v>
      </c>
      <c r="D34" s="4" t="s">
        <v>722</v>
      </c>
      <c r="E34" s="4"/>
    </row>
    <row r="35" customFormat="false" ht="15" hidden="false" customHeight="false" outlineLevel="0" collapsed="false">
      <c r="A35" s="4" t="s">
        <v>725</v>
      </c>
      <c r="B35" s="4" t="s">
        <v>726</v>
      </c>
      <c r="C35" s="28" t="n">
        <v>85</v>
      </c>
      <c r="D35" s="4" t="s">
        <v>722</v>
      </c>
      <c r="E35" s="4"/>
    </row>
    <row r="36" customFormat="false" ht="15" hidden="false" customHeight="false" outlineLevel="0" collapsed="false">
      <c r="A36" s="4" t="s">
        <v>727</v>
      </c>
      <c r="B36" s="4" t="s">
        <v>728</v>
      </c>
      <c r="C36" s="28" t="n">
        <v>110</v>
      </c>
      <c r="D36" s="4" t="s">
        <v>722</v>
      </c>
      <c r="E36" s="4"/>
    </row>
    <row r="37" customFormat="false" ht="15" hidden="false" customHeight="false" outlineLevel="0" collapsed="false">
      <c r="A37" s="4" t="s">
        <v>729</v>
      </c>
      <c r="B37" s="4" t="s">
        <v>730</v>
      </c>
      <c r="C37" s="28" t="n">
        <v>220</v>
      </c>
      <c r="D37" s="4" t="s">
        <v>722</v>
      </c>
      <c r="E37" s="4"/>
    </row>
    <row r="38" customFormat="false" ht="15" hidden="false" customHeight="false" outlineLevel="0" collapsed="false">
      <c r="A38" s="4" t="s">
        <v>731</v>
      </c>
      <c r="B38" s="4" t="s">
        <v>732</v>
      </c>
      <c r="C38" s="28" t="n">
        <v>150</v>
      </c>
      <c r="D38" s="4" t="s">
        <v>722</v>
      </c>
      <c r="E38" s="4"/>
    </row>
    <row r="39" customFormat="false" ht="15" hidden="false" customHeight="false" outlineLevel="0" collapsed="false">
      <c r="A39" s="4" t="s">
        <v>733</v>
      </c>
      <c r="B39" s="4" t="s">
        <v>734</v>
      </c>
      <c r="C39" s="28" t="n">
        <v>9</v>
      </c>
      <c r="D39" s="4" t="s">
        <v>735</v>
      </c>
      <c r="E39" s="4"/>
    </row>
    <row r="40" customFormat="false" ht="15" hidden="false" customHeight="false" outlineLevel="0" collapsed="false">
      <c r="A40" s="4" t="s">
        <v>736</v>
      </c>
      <c r="B40" s="4" t="s">
        <v>737</v>
      </c>
      <c r="C40" s="29" t="n">
        <v>3</v>
      </c>
      <c r="D40" s="4" t="s">
        <v>738</v>
      </c>
      <c r="E40" s="4"/>
    </row>
    <row r="41" customFormat="false" ht="15" hidden="false" customHeight="false" outlineLevel="0" collapsed="false">
      <c r="A41" s="4" t="s">
        <v>739</v>
      </c>
      <c r="B41" s="4" t="s">
        <v>740</v>
      </c>
      <c r="C41" s="29" t="n">
        <v>6.7</v>
      </c>
      <c r="D41" s="4" t="s">
        <v>738</v>
      </c>
      <c r="E41" s="4"/>
    </row>
    <row r="42" customFormat="false" ht="15" hidden="false" customHeight="false" outlineLevel="0" collapsed="false">
      <c r="A42" s="4" t="s">
        <v>741</v>
      </c>
      <c r="B42" s="4" t="s">
        <v>742</v>
      </c>
      <c r="C42" s="29" t="n">
        <v>5</v>
      </c>
      <c r="D42" s="4" t="s">
        <v>738</v>
      </c>
      <c r="E42" s="4"/>
    </row>
    <row r="43" customFormat="false" ht="15" hidden="false" customHeight="false" outlineLevel="0" collapsed="false">
      <c r="A43" s="4" t="s">
        <v>743</v>
      </c>
      <c r="B43" s="4" t="s">
        <v>744</v>
      </c>
      <c r="C43" s="29" t="n">
        <v>2.5</v>
      </c>
      <c r="D43" s="4" t="s">
        <v>738</v>
      </c>
      <c r="E43" s="4"/>
    </row>
    <row r="44" customFormat="false" ht="15" hidden="false" customHeight="false" outlineLevel="0" collapsed="false">
      <c r="A44" s="4" t="s">
        <v>745</v>
      </c>
      <c r="B44" s="4" t="s">
        <v>746</v>
      </c>
      <c r="C44" s="29" t="n">
        <v>0.4</v>
      </c>
      <c r="D44" s="4" t="s">
        <v>738</v>
      </c>
      <c r="E44" s="4"/>
    </row>
    <row r="45" customFormat="false" ht="15" hidden="false" customHeight="false" outlineLevel="0" collapsed="false">
      <c r="A45" s="4" t="s">
        <v>747</v>
      </c>
      <c r="B45" s="4" t="s">
        <v>748</v>
      </c>
      <c r="C45" s="27" t="n">
        <v>0.3</v>
      </c>
      <c r="D45" s="4" t="s">
        <v>657</v>
      </c>
      <c r="E45" s="4"/>
    </row>
    <row r="46" customFormat="false" ht="15" hidden="false" customHeight="false" outlineLevel="0" collapsed="false">
      <c r="A46" s="4" t="s">
        <v>749</v>
      </c>
      <c r="B46" s="4" t="s">
        <v>750</v>
      </c>
      <c r="C46" s="28" t="n">
        <v>95</v>
      </c>
      <c r="D46" s="4" t="s">
        <v>751</v>
      </c>
      <c r="E46" s="4" t="s">
        <v>752</v>
      </c>
    </row>
    <row r="47" customFormat="false" ht="15" hidden="false" customHeight="false" outlineLevel="0" collapsed="false">
      <c r="A47" s="4" t="s">
        <v>753</v>
      </c>
      <c r="B47" s="4" t="s">
        <v>754</v>
      </c>
      <c r="C47" s="28" t="n">
        <v>160</v>
      </c>
      <c r="D47" s="4" t="s">
        <v>751</v>
      </c>
      <c r="E47" s="4"/>
    </row>
    <row r="48" customFormat="false" ht="15" hidden="false" customHeight="false" outlineLevel="0" collapsed="false">
      <c r="A48" s="4" t="s">
        <v>755</v>
      </c>
      <c r="B48" s="4" t="s">
        <v>756</v>
      </c>
      <c r="C48" s="29" t="n">
        <v>0.09</v>
      </c>
      <c r="D48" s="4" t="s">
        <v>674</v>
      </c>
      <c r="E48" s="4"/>
    </row>
    <row r="49" customFormat="false" ht="15" hidden="false" customHeight="false" outlineLevel="0" collapsed="false">
      <c r="A49" s="4" t="s">
        <v>757</v>
      </c>
      <c r="B49" s="4" t="s">
        <v>758</v>
      </c>
      <c r="C49" s="29" t="n">
        <v>0.35</v>
      </c>
      <c r="D49" s="4" t="s">
        <v>674</v>
      </c>
      <c r="E49" s="4" t="s">
        <v>759</v>
      </c>
    </row>
    <row r="50" customFormat="false" ht="15" hidden="false" customHeight="false" outlineLevel="0" collapsed="false">
      <c r="A50" s="4" t="s">
        <v>760</v>
      </c>
      <c r="B50" s="4" t="s">
        <v>761</v>
      </c>
      <c r="C50" s="29" t="n">
        <v>0.33</v>
      </c>
      <c r="D50" s="4" t="s">
        <v>674</v>
      </c>
      <c r="E50" s="4"/>
    </row>
    <row r="51" customFormat="false" ht="15" hidden="false" customHeight="false" outlineLevel="0" collapsed="false">
      <c r="A51" s="4" t="s">
        <v>762</v>
      </c>
      <c r="B51" s="4" t="s">
        <v>763</v>
      </c>
      <c r="C51" s="28" t="n">
        <v>90</v>
      </c>
      <c r="D51" s="4" t="s">
        <v>751</v>
      </c>
      <c r="E51" s="4"/>
    </row>
    <row r="52" customFormat="false" ht="15" hidden="false" customHeight="false" outlineLevel="0" collapsed="false">
      <c r="A52" s="4" t="s">
        <v>764</v>
      </c>
      <c r="B52" s="4" t="s">
        <v>765</v>
      </c>
      <c r="C52" s="28" t="n">
        <v>180</v>
      </c>
      <c r="D52" s="4" t="s">
        <v>751</v>
      </c>
      <c r="E52" s="4"/>
    </row>
    <row r="53" customFormat="false" ht="15" hidden="false" customHeight="false" outlineLevel="0" collapsed="false">
      <c r="A53" s="4" t="s">
        <v>766</v>
      </c>
      <c r="B53" s="4" t="s">
        <v>767</v>
      </c>
      <c r="C53" s="28" t="n">
        <v>120</v>
      </c>
      <c r="D53" s="4" t="s">
        <v>751</v>
      </c>
      <c r="E53" s="4"/>
    </row>
    <row r="54" customFormat="false" ht="15" hidden="false" customHeight="false" outlineLevel="0" collapsed="false">
      <c r="A54" s="4" t="s">
        <v>768</v>
      </c>
      <c r="B54" s="4" t="s">
        <v>769</v>
      </c>
      <c r="C54" s="28" t="n">
        <v>180</v>
      </c>
      <c r="D54" s="4" t="s">
        <v>751</v>
      </c>
      <c r="E54" s="4"/>
    </row>
    <row r="55" customFormat="false" ht="15" hidden="false" customHeight="false" outlineLevel="0" collapsed="false">
      <c r="A55" s="4" t="s">
        <v>770</v>
      </c>
      <c r="B55" s="4" t="s">
        <v>771</v>
      </c>
      <c r="C55" s="28" t="n">
        <v>45</v>
      </c>
      <c r="D55" s="4" t="s">
        <v>751</v>
      </c>
      <c r="E55" s="4"/>
    </row>
    <row r="56" customFormat="false" ht="15" hidden="false" customHeight="false" outlineLevel="0" collapsed="false">
      <c r="A56" s="4" t="s">
        <v>772</v>
      </c>
      <c r="B56" s="4" t="s">
        <v>773</v>
      </c>
      <c r="C56" s="27" t="n">
        <v>0.5</v>
      </c>
      <c r="D56" s="4" t="s">
        <v>657</v>
      </c>
      <c r="E56" s="4"/>
    </row>
    <row r="57" customFormat="false" ht="15" hidden="false" customHeight="false" outlineLevel="0" collapsed="false">
      <c r="A57" s="4" t="s">
        <v>774</v>
      </c>
      <c r="B57" s="4" t="s">
        <v>775</v>
      </c>
      <c r="C57" s="29" t="n">
        <v>0.6</v>
      </c>
      <c r="D57" s="4" t="s">
        <v>65</v>
      </c>
      <c r="E57" s="4"/>
    </row>
    <row r="58" customFormat="false" ht="15" hidden="false" customHeight="false" outlineLevel="0" collapsed="false">
      <c r="A58" s="4" t="s">
        <v>776</v>
      </c>
      <c r="B58" s="4" t="s">
        <v>777</v>
      </c>
      <c r="C58" s="29" t="n">
        <v>0.12</v>
      </c>
      <c r="D58" s="4" t="s">
        <v>751</v>
      </c>
      <c r="E58" s="4"/>
    </row>
    <row r="59" customFormat="false" ht="15" hidden="false" customHeight="false" outlineLevel="0" collapsed="false">
      <c r="A59" s="4" t="s">
        <v>778</v>
      </c>
      <c r="B59" s="4" t="s">
        <v>779</v>
      </c>
      <c r="C59" s="28" t="n">
        <v>15</v>
      </c>
      <c r="D59" s="4" t="s">
        <v>780</v>
      </c>
      <c r="E59" s="4"/>
    </row>
    <row r="60" customFormat="false" ht="15" hidden="false" customHeight="false" outlineLevel="0" collapsed="false">
      <c r="A60" s="4" t="s">
        <v>781</v>
      </c>
      <c r="B60" s="4" t="s">
        <v>782</v>
      </c>
      <c r="C60" s="28" t="n">
        <v>4</v>
      </c>
      <c r="D60" s="4" t="s">
        <v>783</v>
      </c>
      <c r="E60" s="4"/>
    </row>
    <row r="61" customFormat="false" ht="15" hidden="false" customHeight="false" outlineLevel="0" collapsed="false">
      <c r="A61" s="4" t="s">
        <v>784</v>
      </c>
      <c r="B61" s="4" t="s">
        <v>785</v>
      </c>
      <c r="C61" s="29" t="n">
        <v>0.08</v>
      </c>
      <c r="D61" s="4" t="s">
        <v>786</v>
      </c>
      <c r="E61" s="4"/>
    </row>
    <row r="62" customFormat="false" ht="15" hidden="false" customHeight="false" outlineLevel="0" collapsed="false">
      <c r="A62" s="4" t="s">
        <v>787</v>
      </c>
      <c r="B62" s="4" t="s">
        <v>788</v>
      </c>
      <c r="C62" s="29" t="n">
        <v>0.2</v>
      </c>
      <c r="D62" s="4" t="s">
        <v>786</v>
      </c>
      <c r="E62" s="4"/>
    </row>
    <row r="63" customFormat="false" ht="15" hidden="false" customHeight="false" outlineLevel="0" collapsed="false">
      <c r="A63" s="4" t="s">
        <v>789</v>
      </c>
      <c r="B63" s="4" t="s">
        <v>790</v>
      </c>
      <c r="C63" s="29" t="n">
        <v>4</v>
      </c>
      <c r="D63" s="4" t="s">
        <v>791</v>
      </c>
      <c r="E63" s="4"/>
    </row>
    <row r="64" customFormat="false" ht="15" hidden="false" customHeight="false" outlineLevel="0" collapsed="false">
      <c r="A64" s="4" t="s">
        <v>792</v>
      </c>
      <c r="B64" s="4" t="s">
        <v>793</v>
      </c>
      <c r="C64" s="27" t="n">
        <v>0.025</v>
      </c>
      <c r="D64" s="4" t="s">
        <v>657</v>
      </c>
      <c r="E64" s="4"/>
    </row>
    <row r="65" customFormat="false" ht="15" hidden="false" customHeight="false" outlineLevel="0" collapsed="false">
      <c r="A65" s="4" t="s">
        <v>794</v>
      </c>
      <c r="B65" s="4" t="s">
        <v>795</v>
      </c>
      <c r="C65" s="27" t="n">
        <v>0.015</v>
      </c>
      <c r="D65" s="4" t="s">
        <v>657</v>
      </c>
      <c r="E65" s="4"/>
    </row>
    <row r="66" customFormat="false" ht="15" hidden="false" customHeight="false" outlineLevel="0" collapsed="false">
      <c r="A66" s="4" t="s">
        <v>796</v>
      </c>
      <c r="B66" s="4" t="s">
        <v>797</v>
      </c>
      <c r="C66" s="28" t="n">
        <v>22</v>
      </c>
      <c r="D66" s="4" t="s">
        <v>798</v>
      </c>
      <c r="E66" s="4"/>
    </row>
    <row r="67" customFormat="false" ht="15" hidden="false" customHeight="false" outlineLevel="0" collapsed="false">
      <c r="A67" s="4" t="s">
        <v>799</v>
      </c>
      <c r="B67" s="4" t="s">
        <v>800</v>
      </c>
      <c r="C67" s="27" t="n">
        <v>0.6</v>
      </c>
      <c r="D67" s="4" t="s">
        <v>657</v>
      </c>
      <c r="E67" s="4"/>
    </row>
    <row r="68" customFormat="false" ht="15" hidden="false" customHeight="false" outlineLevel="0" collapsed="false">
      <c r="A68" s="4" t="s">
        <v>801</v>
      </c>
      <c r="B68" s="4" t="s">
        <v>802</v>
      </c>
      <c r="C68" s="29" t="n">
        <v>0.15</v>
      </c>
      <c r="D68" s="4" t="s">
        <v>803</v>
      </c>
      <c r="E68" s="4"/>
    </row>
    <row r="69" customFormat="false" ht="15" hidden="false" customHeight="false" outlineLevel="0" collapsed="false">
      <c r="A69" s="4" t="s">
        <v>804</v>
      </c>
      <c r="B69" s="4" t="s">
        <v>805</v>
      </c>
      <c r="C69" s="29" t="n">
        <v>0.7</v>
      </c>
      <c r="D69" s="4" t="s">
        <v>783</v>
      </c>
      <c r="E69" s="4"/>
    </row>
    <row r="70" customFormat="false" ht="15" hidden="false" customHeight="false" outlineLevel="0" collapsed="false">
      <c r="A70" s="4" t="s">
        <v>806</v>
      </c>
      <c r="B70" s="4" t="s">
        <v>807</v>
      </c>
      <c r="C70" s="29" t="n">
        <v>0.5</v>
      </c>
      <c r="D70" s="4" t="s">
        <v>808</v>
      </c>
      <c r="E7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5" t="s">
        <v>809</v>
      </c>
    </row>
    <row r="3" customFormat="false" ht="15" hidden="false" customHeight="false" outlineLevel="0" collapsed="false">
      <c r="A3" s="3" t="s">
        <v>50</v>
      </c>
      <c r="B3" s="3" t="s">
        <v>810</v>
      </c>
      <c r="C3" s="3" t="s">
        <v>53</v>
      </c>
      <c r="D3" s="3" t="s">
        <v>52</v>
      </c>
      <c r="E3" s="3" t="s">
        <v>811</v>
      </c>
    </row>
    <row r="4" customFormat="false" ht="15" hidden="false" customHeight="false" outlineLevel="0" collapsed="false">
      <c r="A4" s="4" t="s">
        <v>812</v>
      </c>
      <c r="B4" s="4" t="s">
        <v>813</v>
      </c>
      <c r="C4" s="28" t="n">
        <v>283535.79</v>
      </c>
      <c r="D4" s="4" t="s">
        <v>60</v>
      </c>
      <c r="E4" s="4" t="s">
        <v>814</v>
      </c>
    </row>
    <row r="5" customFormat="false" ht="15" hidden="false" customHeight="false" outlineLevel="0" collapsed="false">
      <c r="A5" s="4" t="s">
        <v>815</v>
      </c>
      <c r="B5" s="4" t="s">
        <v>816</v>
      </c>
      <c r="C5" s="28" t="n">
        <v>228577.55</v>
      </c>
      <c r="D5" s="4" t="s">
        <v>60</v>
      </c>
      <c r="E5" s="4" t="s">
        <v>814</v>
      </c>
    </row>
    <row r="6" customFormat="false" ht="15" hidden="false" customHeight="false" outlineLevel="0" collapsed="false">
      <c r="A6" s="4" t="s">
        <v>817</v>
      </c>
      <c r="B6" s="4" t="s">
        <v>818</v>
      </c>
      <c r="C6" s="28" t="n">
        <v>1706.53</v>
      </c>
      <c r="D6" s="4" t="s">
        <v>65</v>
      </c>
      <c r="E6" s="4" t="s">
        <v>814</v>
      </c>
    </row>
    <row r="7" customFormat="false" ht="15" hidden="false" customHeight="false" outlineLevel="0" collapsed="false">
      <c r="A7" s="4" t="s">
        <v>819</v>
      </c>
      <c r="B7" s="4" t="s">
        <v>820</v>
      </c>
      <c r="C7" s="28" t="n">
        <v>1900.26</v>
      </c>
      <c r="D7" s="4" t="s">
        <v>65</v>
      </c>
      <c r="E7" s="4" t="s">
        <v>814</v>
      </c>
    </row>
    <row r="8" customFormat="false" ht="15" hidden="false" customHeight="false" outlineLevel="0" collapsed="false">
      <c r="A8" s="4" t="s">
        <v>821</v>
      </c>
      <c r="B8" s="4" t="s">
        <v>822</v>
      </c>
      <c r="C8" s="28" t="n">
        <v>16737.03</v>
      </c>
      <c r="D8" s="4" t="s">
        <v>60</v>
      </c>
      <c r="E8" s="4" t="s">
        <v>814</v>
      </c>
    </row>
    <row r="9" customFormat="false" ht="15" hidden="false" customHeight="false" outlineLevel="0" collapsed="false">
      <c r="A9" s="4" t="s">
        <v>823</v>
      </c>
      <c r="B9" s="4" t="s">
        <v>824</v>
      </c>
      <c r="C9" s="28" t="n">
        <v>19733.01</v>
      </c>
      <c r="D9" s="4" t="s">
        <v>60</v>
      </c>
      <c r="E9" s="4" t="s">
        <v>814</v>
      </c>
    </row>
    <row r="10" customFormat="false" ht="15" hidden="false" customHeight="false" outlineLevel="0" collapsed="false">
      <c r="A10" s="4" t="s">
        <v>825</v>
      </c>
      <c r="B10" s="4" t="s">
        <v>826</v>
      </c>
      <c r="C10" s="28" t="n">
        <v>27944.18</v>
      </c>
      <c r="D10" s="4" t="s">
        <v>60</v>
      </c>
      <c r="E10" s="4" t="s">
        <v>814</v>
      </c>
    </row>
    <row r="11" customFormat="false" ht="15" hidden="false" customHeight="false" outlineLevel="0" collapsed="false">
      <c r="A11" s="4" t="s">
        <v>827</v>
      </c>
      <c r="B11" s="4" t="s">
        <v>828</v>
      </c>
      <c r="C11" s="28" t="n">
        <v>100157.61</v>
      </c>
      <c r="D11" s="4" t="s">
        <v>60</v>
      </c>
      <c r="E11" s="4" t="s">
        <v>814</v>
      </c>
    </row>
    <row r="12" customFormat="false" ht="15" hidden="false" customHeight="false" outlineLevel="0" collapsed="false">
      <c r="A12" s="4" t="s">
        <v>829</v>
      </c>
      <c r="B12" s="4" t="s">
        <v>830</v>
      </c>
      <c r="C12" s="28" t="n">
        <v>48428.54</v>
      </c>
      <c r="D12" s="4" t="s">
        <v>60</v>
      </c>
      <c r="E12" s="4" t="s">
        <v>814</v>
      </c>
    </row>
    <row r="13" customFormat="false" ht="15" hidden="false" customHeight="false" outlineLevel="0" collapsed="false">
      <c r="A13" s="4" t="s">
        <v>831</v>
      </c>
      <c r="B13" s="4" t="s">
        <v>832</v>
      </c>
      <c r="C13" s="28" t="n">
        <v>27044.61</v>
      </c>
      <c r="D13" s="4" t="s">
        <v>60</v>
      </c>
      <c r="E13" s="4" t="s">
        <v>814</v>
      </c>
    </row>
    <row r="14" customFormat="false" ht="15" hidden="false" customHeight="false" outlineLevel="0" collapsed="false">
      <c r="A14" s="4" t="s">
        <v>833</v>
      </c>
      <c r="B14" s="4" t="s">
        <v>834</v>
      </c>
      <c r="C14" s="28" t="n">
        <v>27871.13</v>
      </c>
      <c r="D14" s="4" t="s">
        <v>60</v>
      </c>
      <c r="E14" s="4" t="s">
        <v>814</v>
      </c>
    </row>
    <row r="15" customFormat="false" ht="15" hidden="false" customHeight="false" outlineLevel="0" collapsed="false">
      <c r="A15" s="4" t="s">
        <v>835</v>
      </c>
      <c r="B15" s="4" t="s">
        <v>836</v>
      </c>
      <c r="C15" s="28" t="n">
        <v>21155.35</v>
      </c>
      <c r="D15" s="4" t="s">
        <v>60</v>
      </c>
      <c r="E15" s="4" t="s">
        <v>814</v>
      </c>
    </row>
    <row r="16" customFormat="false" ht="15" hidden="false" customHeight="false" outlineLevel="0" collapsed="false">
      <c r="A16" s="4" t="s">
        <v>837</v>
      </c>
      <c r="B16" s="4" t="s">
        <v>838</v>
      </c>
      <c r="C16" s="28" t="n">
        <v>48508.36</v>
      </c>
      <c r="D16" s="4" t="s">
        <v>60</v>
      </c>
      <c r="E16" s="4" t="s">
        <v>814</v>
      </c>
    </row>
    <row r="17" customFormat="false" ht="15" hidden="false" customHeight="false" outlineLevel="0" collapsed="false">
      <c r="A17" s="4" t="s">
        <v>839</v>
      </c>
      <c r="B17" s="4" t="s">
        <v>840</v>
      </c>
      <c r="C17" s="28" t="n">
        <v>173007.98</v>
      </c>
      <c r="D17" s="4" t="s">
        <v>60</v>
      </c>
      <c r="E17" s="4" t="s">
        <v>814</v>
      </c>
    </row>
    <row r="18" customFormat="false" ht="15" hidden="false" customHeight="false" outlineLevel="0" collapsed="false">
      <c r="A18" s="4" t="s">
        <v>841</v>
      </c>
      <c r="B18" s="4" t="s">
        <v>842</v>
      </c>
      <c r="C18" s="28" t="n">
        <v>198799.31</v>
      </c>
      <c r="D18" s="4" t="s">
        <v>60</v>
      </c>
      <c r="E18" s="4" t="s">
        <v>814</v>
      </c>
    </row>
    <row r="19" customFormat="false" ht="15" hidden="false" customHeight="false" outlineLevel="0" collapsed="false">
      <c r="A19" s="4" t="s">
        <v>843</v>
      </c>
      <c r="B19" s="4" t="s">
        <v>844</v>
      </c>
      <c r="C19" s="28" t="n">
        <v>150227.88</v>
      </c>
      <c r="D19" s="4" t="s">
        <v>60</v>
      </c>
      <c r="E19" s="4" t="s">
        <v>814</v>
      </c>
    </row>
    <row r="20" customFormat="false" ht="15" hidden="false" customHeight="false" outlineLevel="0" collapsed="false">
      <c r="A20" s="4" t="s">
        <v>845</v>
      </c>
      <c r="B20" s="4" t="s">
        <v>846</v>
      </c>
      <c r="C20" s="28" t="n">
        <v>349027.18</v>
      </c>
      <c r="D20" s="4" t="s">
        <v>60</v>
      </c>
      <c r="E20" s="4" t="s">
        <v>814</v>
      </c>
    </row>
    <row r="21" customFormat="false" ht="15" hidden="false" customHeight="false" outlineLevel="0" collapsed="false">
      <c r="A21" s="4" t="s">
        <v>847</v>
      </c>
      <c r="B21" s="4" t="s">
        <v>848</v>
      </c>
      <c r="C21" s="28" t="n">
        <v>10500</v>
      </c>
      <c r="D21" s="4" t="s">
        <v>60</v>
      </c>
      <c r="E21" s="4" t="s">
        <v>814</v>
      </c>
    </row>
    <row r="22" customFormat="false" ht="15" hidden="false" customHeight="false" outlineLevel="0" collapsed="false">
      <c r="A22" s="4" t="s">
        <v>849</v>
      </c>
      <c r="B22" s="4" t="s">
        <v>850</v>
      </c>
      <c r="C22" s="28" t="n">
        <v>994.41</v>
      </c>
      <c r="D22" s="4" t="s">
        <v>65</v>
      </c>
      <c r="E22" s="4" t="s">
        <v>814</v>
      </c>
    </row>
    <row r="23" customFormat="false" ht="15" hidden="false" customHeight="false" outlineLevel="0" collapsed="false">
      <c r="A23" s="4" t="s">
        <v>851</v>
      </c>
      <c r="B23" s="4" t="s">
        <v>852</v>
      </c>
      <c r="C23" s="28" t="n">
        <v>382.8</v>
      </c>
      <c r="D23" s="4" t="s">
        <v>65</v>
      </c>
      <c r="E23" s="4" t="s">
        <v>814</v>
      </c>
    </row>
    <row r="24" customFormat="false" ht="15" hidden="false" customHeight="false" outlineLevel="0" collapsed="false">
      <c r="A24" s="4" t="s">
        <v>853</v>
      </c>
      <c r="B24" s="4" t="s">
        <v>854</v>
      </c>
      <c r="C24" s="28" t="n">
        <v>1901</v>
      </c>
      <c r="D24" s="4" t="s">
        <v>103</v>
      </c>
      <c r="E24" s="4" t="s">
        <v>814</v>
      </c>
    </row>
    <row r="25" customFormat="false" ht="15" hidden="false" customHeight="false" outlineLevel="0" collapsed="false">
      <c r="A25" s="4" t="s">
        <v>855</v>
      </c>
      <c r="B25" s="4" t="s">
        <v>856</v>
      </c>
      <c r="C25" s="28" t="n">
        <v>546</v>
      </c>
      <c r="D25" s="4" t="s">
        <v>103</v>
      </c>
      <c r="E25" s="4" t="s">
        <v>814</v>
      </c>
    </row>
    <row r="26" customFormat="false" ht="15" hidden="false" customHeight="false" outlineLevel="0" collapsed="false">
      <c r="A26" s="4" t="s">
        <v>857</v>
      </c>
      <c r="B26" s="4" t="s">
        <v>858</v>
      </c>
      <c r="C26" s="28" t="n">
        <v>386084.06</v>
      </c>
      <c r="D26" s="4" t="s">
        <v>60</v>
      </c>
      <c r="E26" s="4" t="s">
        <v>814</v>
      </c>
    </row>
    <row r="27" customFormat="false" ht="15" hidden="false" customHeight="false" outlineLevel="0" collapsed="false">
      <c r="A27" s="4" t="s">
        <v>859</v>
      </c>
      <c r="B27" s="4" t="s">
        <v>860</v>
      </c>
      <c r="C27" s="28" t="n">
        <v>41939.34</v>
      </c>
      <c r="D27" s="4" t="s">
        <v>60</v>
      </c>
      <c r="E27" s="4" t="s">
        <v>814</v>
      </c>
    </row>
    <row r="28" customFormat="false" ht="15" hidden="false" customHeight="false" outlineLevel="0" collapsed="false">
      <c r="A28" s="4" t="s">
        <v>861</v>
      </c>
      <c r="B28" s="4" t="s">
        <v>862</v>
      </c>
      <c r="C28" s="28" t="n">
        <v>59596.25</v>
      </c>
      <c r="D28" s="4" t="s">
        <v>60</v>
      </c>
      <c r="E28" s="4" t="s">
        <v>814</v>
      </c>
    </row>
    <row r="29" customFormat="false" ht="15" hidden="false" customHeight="false" outlineLevel="0" collapsed="false">
      <c r="A29" s="4" t="s">
        <v>863</v>
      </c>
      <c r="B29" s="4" t="s">
        <v>864</v>
      </c>
      <c r="C29" s="28" t="n">
        <v>48990.09</v>
      </c>
      <c r="D29" s="4" t="s">
        <v>60</v>
      </c>
      <c r="E29" s="4" t="s">
        <v>814</v>
      </c>
    </row>
    <row r="30" customFormat="false" ht="15" hidden="false" customHeight="false" outlineLevel="0" collapsed="false">
      <c r="A30" s="4" t="s">
        <v>865</v>
      </c>
      <c r="B30" s="4" t="s">
        <v>866</v>
      </c>
      <c r="C30" s="28" t="n">
        <v>108586.03</v>
      </c>
      <c r="D30" s="4" t="s">
        <v>60</v>
      </c>
      <c r="E30" s="4" t="s">
        <v>814</v>
      </c>
    </row>
    <row r="31" customFormat="false" ht="15" hidden="false" customHeight="false" outlineLevel="0" collapsed="false">
      <c r="A31" s="4" t="s">
        <v>867</v>
      </c>
      <c r="B31" s="4" t="s">
        <v>367</v>
      </c>
      <c r="C31" s="28" t="n">
        <v>119234.13</v>
      </c>
      <c r="D31" s="4" t="s">
        <v>60</v>
      </c>
      <c r="E31" s="4" t="s">
        <v>814</v>
      </c>
    </row>
    <row r="32" customFormat="false" ht="15" hidden="false" customHeight="false" outlineLevel="0" collapsed="false">
      <c r="A32" s="4" t="s">
        <v>868</v>
      </c>
      <c r="B32" s="4" t="s">
        <v>307</v>
      </c>
      <c r="C32" s="28" t="n">
        <v>23040</v>
      </c>
      <c r="D32" s="4" t="s">
        <v>60</v>
      </c>
      <c r="E32" s="4" t="s">
        <v>814</v>
      </c>
    </row>
    <row r="33" customFormat="false" ht="15" hidden="false" customHeight="false" outlineLevel="0" collapsed="false">
      <c r="A33" s="4" t="s">
        <v>869</v>
      </c>
      <c r="B33" s="4" t="s">
        <v>870</v>
      </c>
      <c r="C33" s="28" t="n">
        <v>16128</v>
      </c>
      <c r="D33" s="4" t="s">
        <v>60</v>
      </c>
      <c r="E33" s="4" t="s">
        <v>814</v>
      </c>
    </row>
    <row r="34" customFormat="false" ht="15" hidden="false" customHeight="false" outlineLevel="0" collapsed="false">
      <c r="A34" s="4" t="s">
        <v>871</v>
      </c>
      <c r="B34" s="4" t="s">
        <v>872</v>
      </c>
      <c r="C34" s="28" t="n">
        <v>39090.97</v>
      </c>
      <c r="D34" s="4" t="s">
        <v>60</v>
      </c>
      <c r="E34" s="4" t="s">
        <v>814</v>
      </c>
    </row>
    <row r="35" customFormat="false" ht="15" hidden="false" customHeight="false" outlineLevel="0" collapsed="false">
      <c r="A35" s="4" t="s">
        <v>873</v>
      </c>
      <c r="B35" s="4" t="s">
        <v>874</v>
      </c>
      <c r="C35" s="28" t="n">
        <v>21717.21</v>
      </c>
      <c r="D35" s="4" t="s">
        <v>65</v>
      </c>
      <c r="E35" s="4" t="s">
        <v>814</v>
      </c>
    </row>
    <row r="36" customFormat="false" ht="15" hidden="false" customHeight="false" outlineLevel="0" collapsed="false">
      <c r="A36" s="4" t="s">
        <v>875</v>
      </c>
      <c r="B36" s="4" t="s">
        <v>876</v>
      </c>
      <c r="C36" s="28" t="n">
        <v>5242.42</v>
      </c>
      <c r="D36" s="4" t="s">
        <v>65</v>
      </c>
      <c r="E36" s="4" t="s">
        <v>814</v>
      </c>
    </row>
    <row r="37" customFormat="false" ht="15" hidden="false" customHeight="false" outlineLevel="0" collapsed="false">
      <c r="A37" s="4" t="s">
        <v>877</v>
      </c>
      <c r="B37" s="4" t="s">
        <v>878</v>
      </c>
      <c r="C37" s="28" t="n">
        <v>4032</v>
      </c>
      <c r="D37" s="4" t="s">
        <v>60</v>
      </c>
      <c r="E37" s="4" t="s">
        <v>814</v>
      </c>
    </row>
    <row r="38" customFormat="false" ht="15" hidden="false" customHeight="false" outlineLevel="0" collapsed="false">
      <c r="A38" s="4" t="s">
        <v>879</v>
      </c>
      <c r="B38" s="4" t="s">
        <v>880</v>
      </c>
      <c r="C38" s="28" t="n">
        <v>3360</v>
      </c>
      <c r="D38" s="4" t="s">
        <v>60</v>
      </c>
      <c r="E38" s="4" t="s">
        <v>814</v>
      </c>
    </row>
    <row r="39" customFormat="false" ht="15" hidden="false" customHeight="false" outlineLevel="0" collapsed="false">
      <c r="A39" s="4" t="s">
        <v>881</v>
      </c>
      <c r="B39" s="4" t="s">
        <v>882</v>
      </c>
      <c r="C39" s="28" t="n">
        <v>114387.63</v>
      </c>
      <c r="D39" s="4" t="s">
        <v>60</v>
      </c>
      <c r="E39" s="4" t="s">
        <v>814</v>
      </c>
    </row>
    <row r="40" customFormat="false" ht="15" hidden="false" customHeight="false" outlineLevel="0" collapsed="false">
      <c r="A40" s="4" t="s">
        <v>883</v>
      </c>
      <c r="B40" s="4" t="s">
        <v>884</v>
      </c>
      <c r="C40" s="28" t="n">
        <v>7765.49</v>
      </c>
      <c r="D40" s="4" t="s">
        <v>93</v>
      </c>
      <c r="E40" s="4" t="s">
        <v>814</v>
      </c>
    </row>
    <row r="41" customFormat="false" ht="15" hidden="false" customHeight="false" outlineLevel="0" collapsed="false">
      <c r="A41" s="4" t="s">
        <v>885</v>
      </c>
      <c r="B41" s="4" t="s">
        <v>886</v>
      </c>
      <c r="C41" s="28" t="n">
        <v>16052.89</v>
      </c>
      <c r="D41" s="4" t="s">
        <v>93</v>
      </c>
      <c r="E41" s="4" t="s">
        <v>814</v>
      </c>
    </row>
    <row r="42" customFormat="false" ht="15" hidden="false" customHeight="false" outlineLevel="0" collapsed="false">
      <c r="A42" s="4" t="s">
        <v>887</v>
      </c>
      <c r="B42" s="4" t="s">
        <v>888</v>
      </c>
      <c r="C42" s="28" t="n">
        <v>37230.28</v>
      </c>
      <c r="D42" s="4" t="s">
        <v>60</v>
      </c>
      <c r="E42" s="4" t="s">
        <v>814</v>
      </c>
    </row>
    <row r="43" customFormat="false" ht="15" hidden="false" customHeight="false" outlineLevel="0" collapsed="false">
      <c r="A43" s="4" t="s">
        <v>889</v>
      </c>
      <c r="B43" s="4" t="s">
        <v>890</v>
      </c>
      <c r="C43" s="28" t="n">
        <v>48073.23</v>
      </c>
      <c r="D43" s="4" t="s">
        <v>60</v>
      </c>
      <c r="E43" s="4" t="s">
        <v>814</v>
      </c>
    </row>
    <row r="44" customFormat="false" ht="15" hidden="false" customHeight="false" outlineLevel="0" collapsed="false">
      <c r="A44" s="4" t="s">
        <v>891</v>
      </c>
      <c r="B44" s="4" t="s">
        <v>892</v>
      </c>
      <c r="C44" s="28" t="n">
        <v>14146.99</v>
      </c>
      <c r="D44" s="4" t="s">
        <v>60</v>
      </c>
      <c r="E44" s="4" t="s">
        <v>814</v>
      </c>
    </row>
    <row r="45" customFormat="false" ht="15" hidden="false" customHeight="false" outlineLevel="0" collapsed="false">
      <c r="A45" s="4" t="s">
        <v>893</v>
      </c>
      <c r="B45" s="4" t="s">
        <v>894</v>
      </c>
      <c r="C45" s="28" t="n">
        <v>3633.28</v>
      </c>
      <c r="D45" s="4" t="s">
        <v>93</v>
      </c>
      <c r="E45" s="4" t="s">
        <v>814</v>
      </c>
    </row>
    <row r="46" customFormat="false" ht="15" hidden="false" customHeight="false" outlineLevel="0" collapsed="false">
      <c r="A46" s="4" t="s">
        <v>895</v>
      </c>
      <c r="B46" s="4" t="s">
        <v>896</v>
      </c>
      <c r="C46" s="28" t="n">
        <v>40040.32</v>
      </c>
      <c r="D46" s="4" t="s">
        <v>60</v>
      </c>
      <c r="E46" s="4" t="s">
        <v>814</v>
      </c>
    </row>
    <row r="47" customFormat="false" ht="15" hidden="false" customHeight="false" outlineLevel="0" collapsed="false">
      <c r="A47" s="4" t="s">
        <v>897</v>
      </c>
      <c r="B47" s="4" t="s">
        <v>898</v>
      </c>
      <c r="C47" s="28" t="n">
        <v>3787.41</v>
      </c>
      <c r="D47" s="4" t="s">
        <v>60</v>
      </c>
      <c r="E47" s="4" t="s">
        <v>814</v>
      </c>
    </row>
    <row r="48" customFormat="false" ht="15" hidden="false" customHeight="false" outlineLevel="0" collapsed="false">
      <c r="A48" s="4" t="s">
        <v>899</v>
      </c>
      <c r="B48" s="4" t="s">
        <v>292</v>
      </c>
      <c r="C48" s="28" t="n">
        <v>3049.53</v>
      </c>
      <c r="D48" s="4" t="s">
        <v>60</v>
      </c>
      <c r="E48" s="4" t="s">
        <v>814</v>
      </c>
    </row>
    <row r="49" customFormat="false" ht="15" hidden="false" customHeight="false" outlineLevel="0" collapsed="false">
      <c r="A49" s="4" t="s">
        <v>900</v>
      </c>
      <c r="B49" s="4" t="s">
        <v>901</v>
      </c>
      <c r="C49" s="28" t="n">
        <v>7486.78</v>
      </c>
      <c r="D49" s="4" t="s">
        <v>60</v>
      </c>
      <c r="E49" s="4" t="s">
        <v>814</v>
      </c>
    </row>
    <row r="50" customFormat="false" ht="15" hidden="false" customHeight="false" outlineLevel="0" collapsed="false">
      <c r="A50" s="4" t="s">
        <v>902</v>
      </c>
      <c r="B50" s="4" t="s">
        <v>244</v>
      </c>
      <c r="C50" s="28" t="n">
        <v>5888</v>
      </c>
      <c r="D50" s="4" t="s">
        <v>60</v>
      </c>
      <c r="E50" s="4" t="s">
        <v>814</v>
      </c>
    </row>
    <row r="51" customFormat="false" ht="15" hidden="false" customHeight="false" outlineLevel="0" collapsed="false">
      <c r="A51" s="4" t="s">
        <v>903</v>
      </c>
      <c r="B51" s="4" t="s">
        <v>904</v>
      </c>
      <c r="C51" s="28" t="n">
        <v>2296.33</v>
      </c>
      <c r="D51" s="4" t="s">
        <v>60</v>
      </c>
      <c r="E51" s="4" t="s">
        <v>814</v>
      </c>
    </row>
    <row r="52" customFormat="false" ht="15" hidden="false" customHeight="false" outlineLevel="0" collapsed="false">
      <c r="A52" s="4" t="s">
        <v>905</v>
      </c>
      <c r="B52" s="4" t="s">
        <v>906</v>
      </c>
      <c r="C52" s="28" t="n">
        <v>3028.18</v>
      </c>
      <c r="D52" s="4" t="s">
        <v>60</v>
      </c>
      <c r="E52" s="4" t="s">
        <v>814</v>
      </c>
    </row>
    <row r="53" customFormat="false" ht="15" hidden="false" customHeight="false" outlineLevel="0" collapsed="false">
      <c r="A53" s="4" t="s">
        <v>907</v>
      </c>
      <c r="B53" s="4" t="s">
        <v>908</v>
      </c>
      <c r="C53" s="28" t="n">
        <v>7367.82</v>
      </c>
      <c r="D53" s="4" t="s">
        <v>93</v>
      </c>
      <c r="E53" s="4" t="s">
        <v>814</v>
      </c>
    </row>
    <row r="54" customFormat="false" ht="15" hidden="false" customHeight="false" outlineLevel="0" collapsed="false">
      <c r="A54" s="4" t="s">
        <v>909</v>
      </c>
      <c r="B54" s="4" t="s">
        <v>910</v>
      </c>
      <c r="C54" s="28" t="n">
        <v>98247</v>
      </c>
      <c r="D54" s="4" t="s">
        <v>103</v>
      </c>
      <c r="E54" s="4" t="s">
        <v>814</v>
      </c>
    </row>
    <row r="55" customFormat="false" ht="15" hidden="false" customHeight="false" outlineLevel="0" collapsed="false">
      <c r="A55" s="4" t="s">
        <v>911</v>
      </c>
      <c r="B55" s="4" t="s">
        <v>912</v>
      </c>
      <c r="C55" s="28" t="n">
        <v>1021</v>
      </c>
      <c r="D55" s="4" t="s">
        <v>103</v>
      </c>
      <c r="E55" s="4" t="s">
        <v>814</v>
      </c>
    </row>
    <row r="56" customFormat="false" ht="15" hidden="false" customHeight="false" outlineLevel="0" collapsed="false">
      <c r="A56" s="4" t="s">
        <v>913</v>
      </c>
      <c r="B56" s="4" t="s">
        <v>914</v>
      </c>
      <c r="C56" s="28" t="n">
        <v>100289</v>
      </c>
      <c r="D56" s="4" t="s">
        <v>915</v>
      </c>
      <c r="E56" s="4" t="s">
        <v>814</v>
      </c>
    </row>
    <row r="57" customFormat="false" ht="15" hidden="false" customHeight="false" outlineLevel="0" collapsed="false">
      <c r="A57" s="4" t="s">
        <v>916</v>
      </c>
      <c r="B57" s="4" t="s">
        <v>917</v>
      </c>
      <c r="C57" s="28" t="n">
        <v>5688</v>
      </c>
      <c r="D57" s="4" t="s">
        <v>103</v>
      </c>
      <c r="E57" s="4" t="s">
        <v>814</v>
      </c>
    </row>
    <row r="58" customFormat="false" ht="15" hidden="false" customHeight="false" outlineLevel="0" collapsed="false">
      <c r="A58" s="4" t="s">
        <v>918</v>
      </c>
      <c r="B58" s="4" t="s">
        <v>343</v>
      </c>
      <c r="C58" s="28" t="n">
        <v>152</v>
      </c>
      <c r="D58" s="4" t="s">
        <v>103</v>
      </c>
      <c r="E58" s="4" t="s">
        <v>814</v>
      </c>
    </row>
    <row r="59" customFormat="false" ht="15" hidden="false" customHeight="false" outlineLevel="0" collapsed="false">
      <c r="A59" s="4" t="s">
        <v>919</v>
      </c>
      <c r="B59" s="4" t="s">
        <v>920</v>
      </c>
      <c r="C59" s="28" t="n">
        <v>64</v>
      </c>
      <c r="D59" s="4" t="s">
        <v>103</v>
      </c>
      <c r="E59" s="4" t="s">
        <v>814</v>
      </c>
    </row>
    <row r="60" customFormat="false" ht="15" hidden="false" customHeight="false" outlineLevel="0" collapsed="false">
      <c r="A60" s="4" t="s">
        <v>921</v>
      </c>
      <c r="B60" s="4" t="s">
        <v>922</v>
      </c>
      <c r="C60" s="28" t="n">
        <v>24</v>
      </c>
      <c r="D60" s="4" t="s">
        <v>103</v>
      </c>
      <c r="E60" s="4" t="s">
        <v>814</v>
      </c>
    </row>
    <row r="61" customFormat="false" ht="15" hidden="false" customHeight="false" outlineLevel="0" collapsed="false">
      <c r="A61" s="4" t="s">
        <v>923</v>
      </c>
      <c r="B61" s="4" t="s">
        <v>924</v>
      </c>
      <c r="C61" s="28" t="n">
        <v>8</v>
      </c>
      <c r="D61" s="4" t="s">
        <v>103</v>
      </c>
      <c r="E61" s="4" t="s">
        <v>814</v>
      </c>
    </row>
    <row r="62" customFormat="false" ht="15" hidden="false" customHeight="false" outlineLevel="0" collapsed="false">
      <c r="A62" s="4" t="s">
        <v>925</v>
      </c>
      <c r="B62" s="4" t="s">
        <v>926</v>
      </c>
      <c r="C62" s="28" t="n">
        <v>8</v>
      </c>
      <c r="D62" s="4" t="s">
        <v>103</v>
      </c>
      <c r="E62" s="4" t="s">
        <v>814</v>
      </c>
    </row>
    <row r="63" customFormat="false" ht="15" hidden="false" customHeight="false" outlineLevel="0" collapsed="false">
      <c r="A63" s="4" t="s">
        <v>927</v>
      </c>
      <c r="B63" s="4" t="s">
        <v>928</v>
      </c>
      <c r="C63" s="28" t="n">
        <v>8</v>
      </c>
      <c r="D63" s="4" t="s">
        <v>103</v>
      </c>
      <c r="E63" s="4" t="s">
        <v>814</v>
      </c>
    </row>
    <row r="64" customFormat="false" ht="15" hidden="false" customHeight="false" outlineLevel="0" collapsed="false">
      <c r="A64" s="4" t="s">
        <v>929</v>
      </c>
      <c r="B64" s="4" t="s">
        <v>930</v>
      </c>
      <c r="C64" s="28" t="n">
        <v>2133</v>
      </c>
      <c r="D64" s="4" t="s">
        <v>103</v>
      </c>
      <c r="E64" s="4" t="s">
        <v>814</v>
      </c>
    </row>
    <row r="65" customFormat="false" ht="15" hidden="false" customHeight="false" outlineLevel="0" collapsed="false">
      <c r="A65" s="4" t="s">
        <v>931</v>
      </c>
      <c r="B65" s="4" t="s">
        <v>932</v>
      </c>
      <c r="C65" s="28" t="n">
        <v>48</v>
      </c>
      <c r="D65" s="4" t="s">
        <v>103</v>
      </c>
      <c r="E65" s="4" t="s">
        <v>814</v>
      </c>
    </row>
    <row r="66" customFormat="false" ht="15" hidden="false" customHeight="false" outlineLevel="0" collapsed="false">
      <c r="A66" s="4" t="s">
        <v>933</v>
      </c>
      <c r="B66" s="4" t="s">
        <v>934</v>
      </c>
      <c r="C66" s="28" t="n">
        <v>320</v>
      </c>
      <c r="D66" s="4" t="s">
        <v>103</v>
      </c>
      <c r="E66" s="4" t="s">
        <v>814</v>
      </c>
    </row>
    <row r="67" customFormat="false" ht="15" hidden="false" customHeight="false" outlineLevel="0" collapsed="false">
      <c r="A67" s="4" t="s">
        <v>935</v>
      </c>
      <c r="B67" s="4" t="s">
        <v>936</v>
      </c>
      <c r="C67" s="28" t="n">
        <v>48</v>
      </c>
      <c r="D67" s="4" t="s">
        <v>103</v>
      </c>
      <c r="E67" s="4" t="s">
        <v>814</v>
      </c>
    </row>
    <row r="68" customFormat="false" ht="15" hidden="false" customHeight="false" outlineLevel="0" collapsed="false">
      <c r="A68" s="4" t="s">
        <v>937</v>
      </c>
      <c r="B68" s="4" t="s">
        <v>938</v>
      </c>
      <c r="C68" s="28" t="n">
        <v>42</v>
      </c>
      <c r="D68" s="4" t="s">
        <v>103</v>
      </c>
      <c r="E68" s="4" t="s">
        <v>814</v>
      </c>
    </row>
    <row r="69" customFormat="false" ht="15" hidden="false" customHeight="false" outlineLevel="0" collapsed="false">
      <c r="A69" s="4" t="s">
        <v>939</v>
      </c>
      <c r="B69" s="4" t="s">
        <v>515</v>
      </c>
      <c r="C69" s="28" t="n">
        <v>16</v>
      </c>
      <c r="D69" s="4" t="s">
        <v>103</v>
      </c>
      <c r="E69" s="4" t="s">
        <v>814</v>
      </c>
    </row>
    <row r="70" customFormat="false" ht="15" hidden="false" customHeight="false" outlineLevel="0" collapsed="false">
      <c r="A70" s="4" t="s">
        <v>940</v>
      </c>
      <c r="B70" s="4" t="s">
        <v>941</v>
      </c>
      <c r="C70" s="28" t="n">
        <v>10095.38</v>
      </c>
      <c r="D70" s="4" t="s">
        <v>413</v>
      </c>
      <c r="E70" s="4" t="s">
        <v>814</v>
      </c>
    </row>
    <row r="71" customFormat="false" ht="15" hidden="false" customHeight="false" outlineLevel="0" collapsed="false">
      <c r="A71" s="4" t="s">
        <v>942</v>
      </c>
      <c r="B71" s="4" t="s">
        <v>943</v>
      </c>
      <c r="C71" s="28" t="n">
        <v>1029</v>
      </c>
      <c r="D71" s="4" t="s">
        <v>413</v>
      </c>
      <c r="E71" s="4" t="s">
        <v>814</v>
      </c>
    </row>
    <row r="72" customFormat="false" ht="15" hidden="false" customHeight="false" outlineLevel="0" collapsed="false">
      <c r="A72" s="4" t="s">
        <v>944</v>
      </c>
      <c r="B72" s="4" t="s">
        <v>945</v>
      </c>
      <c r="C72" s="28" t="n">
        <v>3575.77</v>
      </c>
      <c r="D72" s="4" t="s">
        <v>413</v>
      </c>
      <c r="E72" s="4" t="s">
        <v>814</v>
      </c>
    </row>
    <row r="73" customFormat="false" ht="15" hidden="false" customHeight="false" outlineLevel="0" collapsed="false">
      <c r="A73" s="4" t="s">
        <v>946</v>
      </c>
      <c r="B73" s="4" t="s">
        <v>947</v>
      </c>
      <c r="C73" s="28" t="n">
        <v>4900</v>
      </c>
      <c r="D73" s="4" t="s">
        <v>60</v>
      </c>
      <c r="E73" s="4" t="s">
        <v>814</v>
      </c>
    </row>
    <row r="74" customFormat="false" ht="15" hidden="false" customHeight="false" outlineLevel="0" collapsed="false">
      <c r="A74" s="4" t="s">
        <v>948</v>
      </c>
      <c r="B74" s="4" t="s">
        <v>949</v>
      </c>
      <c r="C74" s="28" t="n">
        <v>7696.9</v>
      </c>
      <c r="D74" s="4" t="s">
        <v>93</v>
      </c>
      <c r="E74" s="4" t="s">
        <v>814</v>
      </c>
    </row>
    <row r="75" customFormat="false" ht="15" hidden="false" customHeight="false" outlineLevel="0" collapsed="false">
      <c r="A75" s="4" t="s">
        <v>950</v>
      </c>
      <c r="B75" s="4" t="s">
        <v>951</v>
      </c>
      <c r="C75" s="28" t="n">
        <v>56018.33</v>
      </c>
      <c r="D75" s="4" t="s">
        <v>60</v>
      </c>
      <c r="E75" s="4" t="s">
        <v>814</v>
      </c>
    </row>
    <row r="76" customFormat="false" ht="15" hidden="false" customHeight="false" outlineLevel="0" collapsed="false">
      <c r="A76" s="4" t="s">
        <v>952</v>
      </c>
      <c r="B76" s="4" t="s">
        <v>555</v>
      </c>
      <c r="C76" s="28" t="n">
        <v>44821.96</v>
      </c>
      <c r="D76" s="4" t="s">
        <v>60</v>
      </c>
      <c r="E76" s="4" t="s">
        <v>814</v>
      </c>
    </row>
    <row r="77" customFormat="false" ht="15" hidden="false" customHeight="false" outlineLevel="0" collapsed="false">
      <c r="A77" s="4" t="s">
        <v>953</v>
      </c>
      <c r="B77" s="4" t="s">
        <v>954</v>
      </c>
      <c r="C77" s="28" t="n">
        <v>55944.69</v>
      </c>
      <c r="D77" s="4" t="s">
        <v>60</v>
      </c>
      <c r="E77" s="4" t="s">
        <v>814</v>
      </c>
    </row>
    <row r="78" customFormat="false" ht="15" hidden="false" customHeight="false" outlineLevel="0" collapsed="false">
      <c r="A78" s="4" t="s">
        <v>955</v>
      </c>
      <c r="B78" s="4" t="s">
        <v>956</v>
      </c>
      <c r="C78" s="28" t="n">
        <v>3974.94</v>
      </c>
      <c r="D78" s="4" t="s">
        <v>60</v>
      </c>
      <c r="E78" s="4" t="s">
        <v>814</v>
      </c>
    </row>
    <row r="79" customFormat="false" ht="15" hidden="false" customHeight="false" outlineLevel="0" collapsed="false">
      <c r="A79" s="4" t="s">
        <v>957</v>
      </c>
      <c r="B79" s="4" t="s">
        <v>958</v>
      </c>
      <c r="C79" s="28" t="n">
        <v>2790.75</v>
      </c>
      <c r="D79" s="4" t="s">
        <v>60</v>
      </c>
      <c r="E79" s="4" t="s">
        <v>814</v>
      </c>
    </row>
    <row r="80" customFormat="false" ht="15" hidden="false" customHeight="false" outlineLevel="0" collapsed="false">
      <c r="A80" s="4" t="s">
        <v>959</v>
      </c>
      <c r="B80" s="4" t="s">
        <v>960</v>
      </c>
      <c r="C80" s="28" t="n">
        <v>5831.66</v>
      </c>
      <c r="D80" s="4" t="s">
        <v>60</v>
      </c>
      <c r="E80" s="4" t="s">
        <v>814</v>
      </c>
    </row>
    <row r="81" customFormat="false" ht="15" hidden="false" customHeight="false" outlineLevel="0" collapsed="false">
      <c r="A81" s="4" t="s">
        <v>961</v>
      </c>
      <c r="B81" s="4" t="s">
        <v>962</v>
      </c>
      <c r="C81" s="28" t="n">
        <v>5632.86</v>
      </c>
      <c r="D81" s="4" t="s">
        <v>60</v>
      </c>
      <c r="E81" s="4" t="s">
        <v>814</v>
      </c>
    </row>
    <row r="82" customFormat="false" ht="15" hidden="false" customHeight="false" outlineLevel="0" collapsed="false">
      <c r="A82" s="4" t="s">
        <v>963</v>
      </c>
      <c r="B82" s="4" t="s">
        <v>964</v>
      </c>
      <c r="C82" s="28" t="n">
        <v>1261</v>
      </c>
      <c r="D82" s="4" t="s">
        <v>103</v>
      </c>
      <c r="E82" s="4" t="s">
        <v>814</v>
      </c>
    </row>
    <row r="83" customFormat="false" ht="15" hidden="false" customHeight="false" outlineLevel="0" collapsed="false">
      <c r="A83" s="4" t="s">
        <v>965</v>
      </c>
      <c r="B83" s="4" t="s">
        <v>966</v>
      </c>
      <c r="C83" s="28" t="n">
        <v>3384</v>
      </c>
      <c r="D83" s="4" t="s">
        <v>103</v>
      </c>
      <c r="E83" s="4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5" t="s">
        <v>967</v>
      </c>
    </row>
    <row r="3" customFormat="false" ht="15" hidden="false" customHeight="false" outlineLevel="0" collapsed="false">
      <c r="A3" s="3" t="s">
        <v>968</v>
      </c>
      <c r="B3" s="3" t="s">
        <v>969</v>
      </c>
      <c r="C3" s="3" t="s">
        <v>970</v>
      </c>
      <c r="D3" s="3" t="s">
        <v>971</v>
      </c>
    </row>
    <row r="4" customFormat="false" ht="15" hidden="false" customHeight="false" outlineLevel="0" collapsed="false">
      <c r="A4" s="4" t="s">
        <v>972</v>
      </c>
      <c r="B4" s="30" t="n">
        <v>105</v>
      </c>
      <c r="C4" s="30" t="n">
        <v>68</v>
      </c>
      <c r="D4" s="31" t="n">
        <f aca="false">B4*C4</f>
        <v>7140</v>
      </c>
    </row>
    <row r="5" customFormat="false" ht="15" hidden="false" customHeight="false" outlineLevel="0" collapsed="false">
      <c r="A5" s="4" t="s">
        <v>973</v>
      </c>
      <c r="B5" s="30" t="n">
        <v>125</v>
      </c>
      <c r="C5" s="30" t="n">
        <v>84</v>
      </c>
      <c r="D5" s="31" t="n">
        <f aca="false">B5*C5</f>
        <v>10500</v>
      </c>
    </row>
    <row r="6" customFormat="false" ht="15" hidden="false" customHeight="false" outlineLevel="0" collapsed="false">
      <c r="A6" s="4" t="s">
        <v>974</v>
      </c>
      <c r="B6" s="30" t="n">
        <v>322</v>
      </c>
      <c r="C6" s="30" t="n">
        <v>281</v>
      </c>
      <c r="D6" s="31" t="n">
        <f aca="false">B6*C6</f>
        <v>90482</v>
      </c>
    </row>
    <row r="7" customFormat="false" ht="15" hidden="false" customHeight="false" outlineLevel="0" collapsed="false">
      <c r="A7" s="4" t="s">
        <v>975</v>
      </c>
      <c r="B7" s="30" t="n">
        <v>361</v>
      </c>
      <c r="C7" s="30" t="n">
        <v>320</v>
      </c>
      <c r="D7" s="31" t="n">
        <f aca="false">B7*C7</f>
        <v>115520</v>
      </c>
    </row>
    <row r="8" customFormat="false" ht="15" hidden="false" customHeight="false" outlineLevel="0" collapsed="false">
      <c r="A8" s="4" t="s">
        <v>976</v>
      </c>
      <c r="B8" s="30" t="n">
        <v>537</v>
      </c>
      <c r="C8" s="30" t="n">
        <v>496</v>
      </c>
      <c r="D8" s="31" t="n">
        <f aca="false">B8*C8</f>
        <v>266352</v>
      </c>
    </row>
    <row r="9" customFormat="false" ht="15" hidden="false" customHeight="false" outlineLevel="0" collapsed="false">
      <c r="A9" s="4" t="s">
        <v>977</v>
      </c>
      <c r="B9" s="30" t="n">
        <v>597</v>
      </c>
      <c r="C9" s="30" t="n">
        <v>556</v>
      </c>
      <c r="D9" s="31" t="n">
        <f aca="false">B9*C9</f>
        <v>331932</v>
      </c>
    </row>
    <row r="11" customFormat="false" ht="15" hidden="false" customHeight="false" outlineLevel="0" collapsed="false">
      <c r="A11" s="4" t="s">
        <v>978</v>
      </c>
      <c r="D11" s="23" t="n">
        <f aca="false">Cantidades_Modelo!$C$4</f>
        <v>283535.79</v>
      </c>
    </row>
    <row r="12" customFormat="false" ht="15" hidden="false" customHeight="false" outlineLevel="0" collapsed="false">
      <c r="A12" s="2" t="s">
        <v>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2026-10-20T05:54:56Z</dcterms:created>
  <dc:creator>openpyxl</dc:creator>
  <dc:description/>
  <dc:language>en-US</dc:language>
  <cp:lastModifiedBy/>
  <dcterms:modified xsi:type="dcterms:W3CDTF">2026-10-20T05:54:56Z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